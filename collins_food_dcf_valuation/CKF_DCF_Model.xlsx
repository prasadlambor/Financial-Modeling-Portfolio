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defaultThemeVersion="202300"/>
  <mc:AlternateContent xmlns:mc="http://schemas.openxmlformats.org/markup-compatibility/2006">
    <mc:Choice Requires="x15">
      <x15ac:absPath xmlns:x15ac="http://schemas.microsoft.com/office/spreadsheetml/2010/11/ac" url="/Users/prasadlambor/Library/CloudStorage/GoogleDrive-prasad.lambor@gmail.com/My Drive/Investment Banking/Portfolio_Models/Collins Food Valuation/"/>
    </mc:Choice>
  </mc:AlternateContent>
  <xr:revisionPtr revIDLastSave="0" documentId="13_ncr:1_{460F5061-6D08-0343-B3B9-8CBEF98040E6}" xr6:coauthVersionLast="47" xr6:coauthVersionMax="47" xr10:uidLastSave="{00000000-0000-0000-0000-000000000000}"/>
  <bookViews>
    <workbookView xWindow="18700" yWindow="-21000" windowWidth="38400" windowHeight="21000" activeTab="3" xr2:uid="{B060F039-BB21-F945-AEEF-093E4CE96EC2}"/>
  </bookViews>
  <sheets>
    <sheet name="Cover" sheetId="9" r:id="rId1"/>
    <sheet name="Control" sheetId="4" r:id="rId2"/>
    <sheet name="Assumptions" sheetId="3" r:id="rId3"/>
    <sheet name="Historicals" sheetId="2" r:id="rId4"/>
    <sheet name="Model" sheetId="1" r:id="rId5"/>
    <sheet name="Capex &amp; PPE" sheetId="5" r:id="rId6"/>
    <sheet name="Debt &amp; Leases" sheetId="6" r:id="rId7"/>
    <sheet name="WACC" sheetId="7" r:id="rId8"/>
    <sheet name="DCF" sheetId="8" r:id="rId9"/>
    <sheet name="Comps" sheetId="10" r:id="rId10"/>
    <sheet name="Notes &amp; Audit" sheetId="11" r:id="rId1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8" i="8" l="1"/>
  <c r="H8" i="8"/>
  <c r="I8" i="8"/>
  <c r="J8" i="8"/>
  <c r="K8" i="8"/>
  <c r="L8" i="8"/>
  <c r="M8" i="8"/>
  <c r="N8" i="8"/>
  <c r="F8" i="8"/>
  <c r="J110" i="3"/>
  <c r="K110" i="3"/>
  <c r="L110" i="3"/>
  <c r="M110" i="3"/>
  <c r="J111" i="3"/>
  <c r="K111" i="3"/>
  <c r="L111" i="3"/>
  <c r="M111" i="3"/>
  <c r="J113" i="3"/>
  <c r="K113" i="3"/>
  <c r="L19" i="1" s="1"/>
  <c r="L113" i="3"/>
  <c r="M19" i="1" s="1"/>
  <c r="M113" i="3"/>
  <c r="J114" i="3"/>
  <c r="K114" i="3"/>
  <c r="L114" i="3"/>
  <c r="M114" i="3"/>
  <c r="J115" i="3"/>
  <c r="K115" i="3"/>
  <c r="L115" i="3"/>
  <c r="M115" i="3"/>
  <c r="J117" i="3"/>
  <c r="K27" i="1" s="1"/>
  <c r="K117" i="3"/>
  <c r="L117" i="3"/>
  <c r="M117" i="3"/>
  <c r="J118" i="3"/>
  <c r="K118" i="3"/>
  <c r="L118" i="3"/>
  <c r="M118" i="3"/>
  <c r="J120" i="3"/>
  <c r="K120" i="3"/>
  <c r="L120" i="3"/>
  <c r="M120" i="3"/>
  <c r="J121" i="3"/>
  <c r="K121" i="3"/>
  <c r="L121" i="3"/>
  <c r="M121" i="3"/>
  <c r="J123" i="3"/>
  <c r="K123" i="3"/>
  <c r="L123" i="3"/>
  <c r="M123" i="3"/>
  <c r="J124" i="3"/>
  <c r="K124" i="3"/>
  <c r="L124" i="3"/>
  <c r="M124" i="3"/>
  <c r="J125" i="3"/>
  <c r="K125" i="3"/>
  <c r="L125" i="3"/>
  <c r="M125" i="3"/>
  <c r="J126" i="3"/>
  <c r="K126" i="3"/>
  <c r="L126" i="3"/>
  <c r="M126" i="3"/>
  <c r="J127" i="3"/>
  <c r="K127" i="3"/>
  <c r="L127" i="3"/>
  <c r="M127" i="3"/>
  <c r="J128" i="3"/>
  <c r="K128" i="3"/>
  <c r="L128" i="3"/>
  <c r="M128" i="3"/>
  <c r="J129" i="3"/>
  <c r="K129" i="3"/>
  <c r="L129" i="3"/>
  <c r="M129" i="3"/>
  <c r="J130" i="3"/>
  <c r="K130" i="3"/>
  <c r="L130" i="3"/>
  <c r="M130" i="3"/>
  <c r="J131" i="3"/>
  <c r="K131" i="3"/>
  <c r="L131" i="3"/>
  <c r="M131" i="3"/>
  <c r="J109" i="3"/>
  <c r="K109" i="3"/>
  <c r="L109" i="3"/>
  <c r="M109" i="3"/>
  <c r="J108" i="3"/>
  <c r="K108" i="3"/>
  <c r="L108" i="3"/>
  <c r="M108" i="3"/>
  <c r="J107" i="3"/>
  <c r="K107" i="3"/>
  <c r="L107" i="3"/>
  <c r="M107" i="3"/>
  <c r="N7" i="1" s="1"/>
  <c r="D39" i="4"/>
  <c r="D38" i="4"/>
  <c r="D37" i="4"/>
  <c r="D36" i="4"/>
  <c r="D34" i="4"/>
  <c r="D29" i="4"/>
  <c r="D28" i="4"/>
  <c r="D27" i="4"/>
  <c r="D26" i="4"/>
  <c r="D19" i="4"/>
  <c r="D17" i="4"/>
  <c r="D15" i="4"/>
  <c r="F29" i="10"/>
  <c r="F30" i="10"/>
  <c r="F31" i="10"/>
  <c r="F32" i="10"/>
  <c r="F33" i="10"/>
  <c r="E30" i="10"/>
  <c r="D30" i="10"/>
  <c r="E33" i="10"/>
  <c r="D33" i="10"/>
  <c r="E28" i="10"/>
  <c r="D28" i="10"/>
  <c r="E27" i="10"/>
  <c r="D27" i="10"/>
  <c r="G83" i="8"/>
  <c r="H83" i="8" s="1"/>
  <c r="E83" i="8"/>
  <c r="D83" i="8" s="1"/>
  <c r="C87" i="8"/>
  <c r="C88" i="8" s="1"/>
  <c r="C85" i="8"/>
  <c r="C84" i="8"/>
  <c r="C75" i="8"/>
  <c r="C76" i="8"/>
  <c r="C79" i="8"/>
  <c r="C78" i="8"/>
  <c r="G13" i="10"/>
  <c r="G12" i="10"/>
  <c r="D12" i="10"/>
  <c r="C22" i="10"/>
  <c r="C21" i="10"/>
  <c r="C20" i="10"/>
  <c r="C19" i="10"/>
  <c r="C18" i="10"/>
  <c r="C17" i="10"/>
  <c r="C16" i="10"/>
  <c r="F11" i="10"/>
  <c r="H11" i="10" s="1"/>
  <c r="D20" i="10" s="1"/>
  <c r="F10" i="10"/>
  <c r="H10" i="10" s="1"/>
  <c r="D19" i="10" s="1"/>
  <c r="F9" i="10"/>
  <c r="H9" i="10" s="1"/>
  <c r="D18" i="10" s="1"/>
  <c r="F8" i="10"/>
  <c r="H8" i="10" s="1"/>
  <c r="D17" i="10" s="1"/>
  <c r="F7" i="10"/>
  <c r="H7" i="10" s="1"/>
  <c r="D16" i="10" s="1"/>
  <c r="E61" i="8"/>
  <c r="E48" i="8"/>
  <c r="E42" i="8"/>
  <c r="E44" i="8" s="1"/>
  <c r="E134" i="3"/>
  <c r="E32" i="8" s="1"/>
  <c r="E133" i="3"/>
  <c r="E17" i="8" s="1"/>
  <c r="D31" i="4" s="1"/>
  <c r="E36" i="7"/>
  <c r="E25" i="7"/>
  <c r="E24" i="7"/>
  <c r="E46" i="7" s="1"/>
  <c r="E22" i="7"/>
  <c r="E46" i="8" s="1"/>
  <c r="E42" i="6"/>
  <c r="E41" i="6"/>
  <c r="E40" i="6" s="1"/>
  <c r="E39" i="6"/>
  <c r="E32" i="6"/>
  <c r="G15" i="6"/>
  <c r="H15" i="6"/>
  <c r="I15" i="6"/>
  <c r="J15" i="6"/>
  <c r="K15" i="6"/>
  <c r="L15" i="6"/>
  <c r="M15" i="6"/>
  <c r="N15" i="6"/>
  <c r="F23" i="6"/>
  <c r="E27" i="6"/>
  <c r="E51" i="1"/>
  <c r="E28" i="6"/>
  <c r="E24" i="6"/>
  <c r="E20" i="6"/>
  <c r="F15" i="6"/>
  <c r="E16" i="6"/>
  <c r="E17" i="6" s="1"/>
  <c r="E14" i="6"/>
  <c r="E37" i="7"/>
  <c r="E38" i="7" s="1"/>
  <c r="H16" i="7"/>
  <c r="H15" i="7"/>
  <c r="H14" i="7"/>
  <c r="H13" i="7"/>
  <c r="H12" i="7"/>
  <c r="E36" i="6"/>
  <c r="F20" i="6"/>
  <c r="E56" i="5"/>
  <c r="E55" i="5"/>
  <c r="G27" i="5"/>
  <c r="F27" i="5"/>
  <c r="E38" i="5"/>
  <c r="H19" i="5"/>
  <c r="I19" i="5"/>
  <c r="J19" i="5"/>
  <c r="K19" i="5"/>
  <c r="L19" i="5"/>
  <c r="M19" i="5"/>
  <c r="N19" i="5"/>
  <c r="G20" i="5"/>
  <c r="H20" i="5"/>
  <c r="I20" i="5"/>
  <c r="J20" i="5"/>
  <c r="K20" i="5"/>
  <c r="L20" i="5"/>
  <c r="M20" i="5"/>
  <c r="N20" i="5"/>
  <c r="E20" i="5"/>
  <c r="E19" i="5"/>
  <c r="E18" i="5"/>
  <c r="E17" i="5"/>
  <c r="G48" i="5"/>
  <c r="H48" i="5" s="1"/>
  <c r="I48" i="5" s="1"/>
  <c r="J48" i="5" s="1"/>
  <c r="K48" i="5" s="1"/>
  <c r="L48" i="5" s="1"/>
  <c r="M48" i="5" s="1"/>
  <c r="N48" i="5" s="1"/>
  <c r="F48" i="5"/>
  <c r="F41" i="5"/>
  <c r="E26" i="5"/>
  <c r="F25" i="5"/>
  <c r="E53" i="5"/>
  <c r="E11" i="5"/>
  <c r="E12" i="5" s="1"/>
  <c r="E13" i="5" s="1"/>
  <c r="N27" i="1"/>
  <c r="K74" i="1"/>
  <c r="L74" i="1"/>
  <c r="M74" i="1"/>
  <c r="N74" i="1"/>
  <c r="M27" i="1"/>
  <c r="L27" i="1"/>
  <c r="N19" i="1"/>
  <c r="K19" i="1"/>
  <c r="M7" i="1"/>
  <c r="L7" i="1"/>
  <c r="K7" i="1"/>
  <c r="E75" i="1"/>
  <c r="F74" i="1"/>
  <c r="G74" i="1"/>
  <c r="H74" i="1"/>
  <c r="I74" i="1"/>
  <c r="J74" i="1"/>
  <c r="E74" i="1"/>
  <c r="E72" i="1"/>
  <c r="E61" i="1"/>
  <c r="E73" i="1" s="1"/>
  <c r="E66" i="1"/>
  <c r="E52" i="1"/>
  <c r="E53" i="1" s="1"/>
  <c r="E47" i="1"/>
  <c r="E44" i="1"/>
  <c r="E36" i="1"/>
  <c r="E27" i="1"/>
  <c r="E26" i="1"/>
  <c r="E18" i="1"/>
  <c r="E20" i="1" s="1"/>
  <c r="E21" i="1" s="1"/>
  <c r="E19" i="1"/>
  <c r="E13" i="1"/>
  <c r="E14" i="1"/>
  <c r="E15" i="1"/>
  <c r="E42" i="1" s="1"/>
  <c r="E7" i="1"/>
  <c r="E6" i="1"/>
  <c r="E8" i="1" s="1"/>
  <c r="E9" i="1" s="1"/>
  <c r="F28" i="10" l="1"/>
  <c r="F27" i="10"/>
  <c r="E12" i="10"/>
  <c r="H17" i="7"/>
  <c r="E23" i="7"/>
  <c r="F12" i="10"/>
  <c r="H12" i="10" s="1"/>
  <c r="K59" i="1"/>
  <c r="K17" i="5" s="1"/>
  <c r="N59" i="1"/>
  <c r="N17" i="5" s="1"/>
  <c r="N54" i="5" s="1"/>
  <c r="M59" i="1"/>
  <c r="M17" i="5" s="1"/>
  <c r="M54" i="5" s="1"/>
  <c r="L59" i="1"/>
  <c r="L17" i="5" s="1"/>
  <c r="L54" i="5" s="1"/>
  <c r="E44" i="7"/>
  <c r="E26" i="7"/>
  <c r="E45" i="7"/>
  <c r="F14" i="6"/>
  <c r="F22" i="6" s="1"/>
  <c r="E31" i="6"/>
  <c r="F39" i="6"/>
  <c r="F28" i="5"/>
  <c r="G25" i="5" s="1"/>
  <c r="E21" i="5"/>
  <c r="E42" i="5" s="1"/>
  <c r="E51" i="5"/>
  <c r="E52" i="5"/>
  <c r="E54" i="5"/>
  <c r="K54" i="5"/>
  <c r="E43" i="5"/>
  <c r="E28" i="1"/>
  <c r="F26" i="1" s="1"/>
  <c r="E10" i="1"/>
  <c r="F11" i="1" s="1"/>
  <c r="E12" i="1"/>
  <c r="F18" i="1"/>
  <c r="E29" i="1"/>
  <c r="E30" i="1" s="1"/>
  <c r="E22" i="1"/>
  <c r="E23" i="1" s="1"/>
  <c r="F6" i="1"/>
  <c r="F13" i="10" l="1"/>
  <c r="H13" i="10" s="1"/>
  <c r="E35" i="6"/>
  <c r="E43" i="6"/>
  <c r="F24" i="6"/>
  <c r="E27" i="7"/>
  <c r="E28" i="7"/>
  <c r="E31" i="7" s="1"/>
  <c r="E32" i="7" s="1"/>
  <c r="E33" i="6"/>
  <c r="E34" i="6" s="1"/>
  <c r="G28" i="5"/>
  <c r="H25" i="5" s="1"/>
  <c r="H27" i="5" s="1"/>
  <c r="E31" i="1"/>
  <c r="E34" i="1" s="1"/>
  <c r="E41" i="7" l="1"/>
  <c r="E9" i="8" s="1"/>
  <c r="E35" i="1"/>
  <c r="E37" i="1" s="1"/>
  <c r="E43" i="1" s="1"/>
  <c r="E45" i="1" s="1"/>
  <c r="E40" i="1"/>
  <c r="N10" i="8" l="1"/>
  <c r="E35" i="8"/>
  <c r="G10" i="8"/>
  <c r="K10" i="8"/>
  <c r="J10" i="8"/>
  <c r="F10" i="8"/>
  <c r="L10" i="8"/>
  <c r="M10" i="8"/>
  <c r="H10" i="8"/>
  <c r="I10" i="8"/>
  <c r="H28" i="5"/>
  <c r="I25" i="5" s="1"/>
  <c r="I27" i="5" s="1"/>
  <c r="E41" i="1"/>
  <c r="E62" i="1"/>
  <c r="E48" i="1"/>
  <c r="E54" i="1"/>
  <c r="E46" i="1"/>
  <c r="I28" i="5" l="1"/>
  <c r="J25" i="5" s="1"/>
  <c r="J27" i="5" s="1"/>
  <c r="E80" i="1"/>
  <c r="E55" i="1"/>
  <c r="E69" i="1" l="1"/>
  <c r="E70" i="1" s="1"/>
  <c r="E71" i="1" s="1"/>
  <c r="E76" i="1" s="1"/>
  <c r="E79" i="1" s="1"/>
  <c r="E21" i="6" s="1"/>
  <c r="E25" i="6"/>
  <c r="J28" i="5"/>
  <c r="K25" i="5" s="1"/>
  <c r="K27" i="5" s="1"/>
  <c r="E81" i="1"/>
  <c r="K28" i="5" l="1"/>
  <c r="L25" i="5" s="1"/>
  <c r="L27" i="5" s="1"/>
  <c r="E124" i="3" l="1"/>
  <c r="F124" i="3"/>
  <c r="G124" i="3"/>
  <c r="H124" i="3"/>
  <c r="I124" i="3"/>
  <c r="E125" i="3"/>
  <c r="F125" i="3"/>
  <c r="G125" i="3"/>
  <c r="H125" i="3"/>
  <c r="I125" i="3"/>
  <c r="E126" i="3"/>
  <c r="F60" i="1" s="1"/>
  <c r="F19" i="5" s="1"/>
  <c r="F126" i="3"/>
  <c r="G60" i="1" s="1"/>
  <c r="G19" i="5" s="1"/>
  <c r="G126" i="3"/>
  <c r="H126" i="3"/>
  <c r="I126" i="3"/>
  <c r="E127" i="3"/>
  <c r="F127" i="3"/>
  <c r="G127" i="3"/>
  <c r="H127" i="3"/>
  <c r="I127" i="3"/>
  <c r="E128" i="3"/>
  <c r="F128" i="3"/>
  <c r="G128" i="3"/>
  <c r="H128" i="3"/>
  <c r="I128" i="3"/>
  <c r="E129" i="3"/>
  <c r="F129" i="3"/>
  <c r="G129" i="3"/>
  <c r="H129" i="3"/>
  <c r="I129" i="3"/>
  <c r="E130" i="3"/>
  <c r="E63" i="1" s="1"/>
  <c r="F130" i="3"/>
  <c r="G130" i="3"/>
  <c r="H130" i="3"/>
  <c r="I130" i="3"/>
  <c r="E131" i="3"/>
  <c r="F131" i="3"/>
  <c r="G131" i="3"/>
  <c r="H131" i="3"/>
  <c r="I131" i="3"/>
  <c r="F123" i="3"/>
  <c r="G123" i="3"/>
  <c r="H123" i="3"/>
  <c r="I123" i="3"/>
  <c r="E123" i="3"/>
  <c r="E121" i="3"/>
  <c r="F121" i="3"/>
  <c r="G121" i="3"/>
  <c r="H121" i="3"/>
  <c r="I121" i="3"/>
  <c r="F120" i="3"/>
  <c r="G120" i="3"/>
  <c r="H120" i="3"/>
  <c r="I120" i="3"/>
  <c r="E120" i="3"/>
  <c r="E118" i="3"/>
  <c r="F30" i="1" s="1"/>
  <c r="F118" i="3"/>
  <c r="G118" i="3"/>
  <c r="H118" i="3"/>
  <c r="I118" i="3"/>
  <c r="F117" i="3"/>
  <c r="G27" i="1" s="1"/>
  <c r="G117" i="3"/>
  <c r="H27" i="1" s="1"/>
  <c r="H117" i="3"/>
  <c r="I27" i="1" s="1"/>
  <c r="I117" i="3"/>
  <c r="J27" i="1" s="1"/>
  <c r="E117" i="3"/>
  <c r="F27" i="1" s="1"/>
  <c r="F28" i="1" s="1"/>
  <c r="E114" i="3"/>
  <c r="F114" i="3"/>
  <c r="G114" i="3"/>
  <c r="H114" i="3"/>
  <c r="I114" i="3"/>
  <c r="E115" i="3"/>
  <c r="F22" i="1" s="1"/>
  <c r="F115" i="3"/>
  <c r="G115" i="3"/>
  <c r="H115" i="3"/>
  <c r="I115" i="3"/>
  <c r="F113" i="3"/>
  <c r="G19" i="1" s="1"/>
  <c r="G113" i="3"/>
  <c r="H19" i="1" s="1"/>
  <c r="H113" i="3"/>
  <c r="I19" i="1" s="1"/>
  <c r="I113" i="3"/>
  <c r="J19" i="1" s="1"/>
  <c r="E113" i="3"/>
  <c r="F19" i="1" s="1"/>
  <c r="F20" i="1" s="1"/>
  <c r="E108" i="3"/>
  <c r="F108" i="3"/>
  <c r="G108" i="3"/>
  <c r="H108" i="3"/>
  <c r="I108" i="3"/>
  <c r="E109" i="3"/>
  <c r="F109" i="3"/>
  <c r="G109" i="3"/>
  <c r="H109" i="3"/>
  <c r="I109" i="3"/>
  <c r="E110" i="3"/>
  <c r="F110" i="3"/>
  <c r="G110" i="3"/>
  <c r="H110" i="3"/>
  <c r="I110" i="3"/>
  <c r="E111" i="3"/>
  <c r="F111" i="3"/>
  <c r="G111" i="3"/>
  <c r="H111" i="3"/>
  <c r="I111" i="3"/>
  <c r="F107" i="3"/>
  <c r="G7" i="1" s="1"/>
  <c r="G107" i="3"/>
  <c r="H7" i="1" s="1"/>
  <c r="H107" i="3"/>
  <c r="I7" i="1" s="1"/>
  <c r="I107" i="3"/>
  <c r="J7" i="1" s="1"/>
  <c r="E107" i="3"/>
  <c r="F7" i="1" s="1"/>
  <c r="E10" i="4"/>
  <c r="E9" i="4"/>
  <c r="E8" i="4"/>
  <c r="E7" i="4"/>
  <c r="O106" i="3" s="1"/>
  <c r="E39" i="4"/>
  <c r="E37" i="4"/>
  <c r="E36" i="4"/>
  <c r="E34" i="4"/>
  <c r="E31" i="4"/>
  <c r="D30" i="4"/>
  <c r="E30" i="4" s="1"/>
  <c r="E29" i="4"/>
  <c r="E28" i="4"/>
  <c r="E27" i="4"/>
  <c r="E26" i="4"/>
  <c r="H67" i="2"/>
  <c r="H66" i="2"/>
  <c r="H65" i="2"/>
  <c r="H68" i="2" s="1"/>
  <c r="H70" i="2" s="1"/>
  <c r="H62" i="2"/>
  <c r="G62" i="2"/>
  <c r="G42" i="2"/>
  <c r="G43" i="2" s="1"/>
  <c r="H45" i="2" s="1"/>
  <c r="H47" i="2" s="1"/>
  <c r="L28" i="5" l="1"/>
  <c r="M25" i="5" s="1"/>
  <c r="M27" i="5" s="1"/>
  <c r="G59" i="1"/>
  <c r="G17" i="5" s="1"/>
  <c r="F10" i="1"/>
  <c r="G10" i="1" s="1"/>
  <c r="H10" i="1" s="1"/>
  <c r="I10" i="1" s="1"/>
  <c r="J10" i="1" s="1"/>
  <c r="K10" i="1" s="1"/>
  <c r="L10" i="1" s="1"/>
  <c r="M10" i="1" s="1"/>
  <c r="N10" i="1" s="1"/>
  <c r="H59" i="1"/>
  <c r="H17" i="5" s="1"/>
  <c r="G18" i="1"/>
  <c r="G20" i="1" s="1"/>
  <c r="F21" i="1"/>
  <c r="F23" i="1" s="1"/>
  <c r="G30" i="1"/>
  <c r="G22" i="1"/>
  <c r="F59" i="1"/>
  <c r="F17" i="5" s="1"/>
  <c r="F8" i="1"/>
  <c r="J59" i="1"/>
  <c r="J17" i="5" s="1"/>
  <c r="F29" i="1"/>
  <c r="F31" i="1" s="1"/>
  <c r="G26" i="1"/>
  <c r="G28" i="1" s="1"/>
  <c r="I59" i="1"/>
  <c r="I17" i="5" s="1"/>
  <c r="H69" i="2"/>
  <c r="H44" i="2"/>
  <c r="F54" i="5" l="1"/>
  <c r="I54" i="5"/>
  <c r="H54" i="5"/>
  <c r="G54" i="5"/>
  <c r="J54" i="5"/>
  <c r="M28" i="5"/>
  <c r="N25" i="5" s="1"/>
  <c r="N27" i="5" s="1"/>
  <c r="F34" i="1"/>
  <c r="F36" i="1" s="1"/>
  <c r="H18" i="1"/>
  <c r="H20" i="1" s="1"/>
  <c r="G21" i="1"/>
  <c r="G23" i="1" s="1"/>
  <c r="G6" i="1"/>
  <c r="G8" i="1" s="1"/>
  <c r="F9" i="1"/>
  <c r="F12" i="1" s="1"/>
  <c r="H30" i="1"/>
  <c r="H22" i="1"/>
  <c r="G29" i="1"/>
  <c r="G31" i="1" s="1"/>
  <c r="H26" i="1"/>
  <c r="H28" i="1" s="1"/>
  <c r="H48" i="2"/>
  <c r="H46" i="2"/>
  <c r="F35" i="1" l="1"/>
  <c r="F37" i="1" s="1"/>
  <c r="F43" i="1" s="1"/>
  <c r="N28" i="5"/>
  <c r="G34" i="1"/>
  <c r="I22" i="1"/>
  <c r="F14" i="1"/>
  <c r="F13" i="1"/>
  <c r="F40" i="1"/>
  <c r="H6" i="1"/>
  <c r="H8" i="1" s="1"/>
  <c r="G9" i="1"/>
  <c r="G12" i="1" s="1"/>
  <c r="I18" i="1"/>
  <c r="I20" i="1" s="1"/>
  <c r="H21" i="1"/>
  <c r="H23" i="1" s="1"/>
  <c r="I26" i="1"/>
  <c r="I28" i="1" s="1"/>
  <c r="H29" i="1"/>
  <c r="H31" i="1" s="1"/>
  <c r="I30" i="1"/>
  <c r="F15" i="1" l="1"/>
  <c r="F42" i="1" s="1"/>
  <c r="H34" i="1"/>
  <c r="H35" i="1" s="1"/>
  <c r="J18" i="1"/>
  <c r="J20" i="1" s="1"/>
  <c r="I21" i="1"/>
  <c r="I23" i="1" s="1"/>
  <c r="F58" i="1"/>
  <c r="F18" i="5" s="1"/>
  <c r="F63" i="1"/>
  <c r="F64" i="1" s="1"/>
  <c r="F75" i="1" s="1"/>
  <c r="F52" i="1"/>
  <c r="F66" i="1"/>
  <c r="F47" i="1"/>
  <c r="E58" i="8" s="1"/>
  <c r="E59" i="8" s="1"/>
  <c r="E60" i="8" s="1"/>
  <c r="E62" i="8" s="1"/>
  <c r="F41" i="1"/>
  <c r="F44" i="1"/>
  <c r="G14" i="1"/>
  <c r="G40" i="1"/>
  <c r="G13" i="1"/>
  <c r="J22" i="1"/>
  <c r="K22" i="1" s="1"/>
  <c r="L22" i="1" s="1"/>
  <c r="M22" i="1" s="1"/>
  <c r="N22" i="1" s="1"/>
  <c r="I6" i="1"/>
  <c r="I8" i="1" s="1"/>
  <c r="H9" i="1"/>
  <c r="H12" i="1" s="1"/>
  <c r="J30" i="1"/>
  <c r="K30" i="1" s="1"/>
  <c r="J26" i="1"/>
  <c r="J28" i="1" s="1"/>
  <c r="I29" i="1"/>
  <c r="I31" i="1" s="1"/>
  <c r="G35" i="1"/>
  <c r="G36" i="1"/>
  <c r="F45" i="1" l="1"/>
  <c r="I13" i="10" s="1"/>
  <c r="D22" i="10" s="1"/>
  <c r="H36" i="1"/>
  <c r="H37" i="1" s="1"/>
  <c r="H43" i="1" s="1"/>
  <c r="F46" i="1"/>
  <c r="J21" i="1"/>
  <c r="J23" i="1" s="1"/>
  <c r="K18" i="1"/>
  <c r="K20" i="1" s="1"/>
  <c r="J29" i="1"/>
  <c r="J31" i="1" s="1"/>
  <c r="K26" i="1"/>
  <c r="K28" i="1" s="1"/>
  <c r="F41" i="6"/>
  <c r="F42" i="6"/>
  <c r="L30" i="1"/>
  <c r="M30" i="1" s="1"/>
  <c r="N30" i="1" s="1"/>
  <c r="F53" i="5"/>
  <c r="F55" i="5"/>
  <c r="F21" i="5"/>
  <c r="G15" i="1"/>
  <c r="G42" i="1" s="1"/>
  <c r="G52" i="1"/>
  <c r="G37" i="1"/>
  <c r="G43" i="1" s="1"/>
  <c r="F61" i="1"/>
  <c r="D32" i="4" s="1"/>
  <c r="E32" i="4" s="1"/>
  <c r="H14" i="1"/>
  <c r="H40" i="1"/>
  <c r="H13" i="1"/>
  <c r="J6" i="1"/>
  <c r="J8" i="1" s="1"/>
  <c r="I9" i="1"/>
  <c r="I12" i="1" s="1"/>
  <c r="I34" i="1"/>
  <c r="G47" i="1"/>
  <c r="G66" i="1"/>
  <c r="G44" i="1"/>
  <c r="G41" i="1"/>
  <c r="G58" i="1"/>
  <c r="G18" i="5" s="1"/>
  <c r="G63" i="1"/>
  <c r="G64" i="1" s="1"/>
  <c r="G75" i="1" s="1"/>
  <c r="F48" i="1" l="1"/>
  <c r="F32" i="6" s="1"/>
  <c r="G41" i="6"/>
  <c r="F80" i="1"/>
  <c r="I12" i="10" s="1"/>
  <c r="D21" i="10" s="1"/>
  <c r="J34" i="1"/>
  <c r="J36" i="1" s="1"/>
  <c r="F29" i="5"/>
  <c r="F38" i="5" s="1"/>
  <c r="I29" i="5"/>
  <c r="J29" i="5"/>
  <c r="M29" i="5"/>
  <c r="K29" i="5"/>
  <c r="L29" i="5"/>
  <c r="H29" i="5"/>
  <c r="N29" i="5"/>
  <c r="G29" i="5"/>
  <c r="F42" i="5"/>
  <c r="L18" i="1"/>
  <c r="L20" i="1" s="1"/>
  <c r="K21" i="1"/>
  <c r="K23" i="1" s="1"/>
  <c r="J9" i="1"/>
  <c r="J12" i="1" s="1"/>
  <c r="J40" i="1" s="1"/>
  <c r="K6" i="1"/>
  <c r="K8" i="1" s="1"/>
  <c r="L26" i="1"/>
  <c r="L28" i="1" s="1"/>
  <c r="K29" i="1"/>
  <c r="K31" i="1" s="1"/>
  <c r="G53" i="5"/>
  <c r="G21" i="5"/>
  <c r="G55" i="5"/>
  <c r="F36" i="6"/>
  <c r="H15" i="1"/>
  <c r="H42" i="1" s="1"/>
  <c r="G45" i="1"/>
  <c r="G46" i="1" s="1"/>
  <c r="G61" i="1"/>
  <c r="H63" i="1"/>
  <c r="H64" i="1" s="1"/>
  <c r="H75" i="1" s="1"/>
  <c r="H66" i="1"/>
  <c r="H44" i="1"/>
  <c r="H41" i="1"/>
  <c r="H41" i="6" s="1"/>
  <c r="H47" i="1"/>
  <c r="H58" i="1"/>
  <c r="H18" i="5" s="1"/>
  <c r="F62" i="1"/>
  <c r="F73" i="1"/>
  <c r="G48" i="1"/>
  <c r="G32" i="6" s="1"/>
  <c r="I35" i="1"/>
  <c r="I36" i="1"/>
  <c r="H52" i="1"/>
  <c r="I13" i="1"/>
  <c r="I14" i="1"/>
  <c r="I40" i="1"/>
  <c r="J13" i="1" l="1"/>
  <c r="J35" i="1"/>
  <c r="J14" i="1"/>
  <c r="H45" i="1"/>
  <c r="H46" i="1" s="1"/>
  <c r="G30" i="5"/>
  <c r="G38" i="5" s="1"/>
  <c r="J30" i="5"/>
  <c r="I30" i="5"/>
  <c r="K30" i="5"/>
  <c r="L30" i="5"/>
  <c r="M30" i="5"/>
  <c r="H30" i="5"/>
  <c r="N30" i="5"/>
  <c r="G42" i="5"/>
  <c r="L29" i="1"/>
  <c r="L31" i="1" s="1"/>
  <c r="M26" i="1"/>
  <c r="M28" i="1" s="1"/>
  <c r="L6" i="1"/>
  <c r="L8" i="1" s="1"/>
  <c r="K9" i="1"/>
  <c r="K12" i="1" s="1"/>
  <c r="H53" i="5"/>
  <c r="H21" i="5"/>
  <c r="H55" i="5"/>
  <c r="K34" i="1"/>
  <c r="M18" i="1"/>
  <c r="M20" i="1" s="1"/>
  <c r="L21" i="1"/>
  <c r="L23" i="1" s="1"/>
  <c r="F56" i="5"/>
  <c r="F43" i="5"/>
  <c r="F45" i="5" s="1"/>
  <c r="G41" i="5" s="1"/>
  <c r="F51" i="5"/>
  <c r="F51" i="1" s="1"/>
  <c r="F52" i="5"/>
  <c r="I37" i="1"/>
  <c r="I43" i="1" s="1"/>
  <c r="J37" i="1"/>
  <c r="J43" i="1" s="1"/>
  <c r="G80" i="1"/>
  <c r="J44" i="1"/>
  <c r="J66" i="1"/>
  <c r="J58" i="1"/>
  <c r="J18" i="5" s="1"/>
  <c r="J41" i="1"/>
  <c r="J63" i="1"/>
  <c r="J47" i="1"/>
  <c r="J15" i="1"/>
  <c r="J42" i="1" s="1"/>
  <c r="I63" i="1"/>
  <c r="I64" i="1" s="1"/>
  <c r="I75" i="1" s="1"/>
  <c r="I66" i="1"/>
  <c r="I44" i="1"/>
  <c r="I41" i="1"/>
  <c r="I41" i="6" s="1"/>
  <c r="I58" i="1"/>
  <c r="I18" i="5" s="1"/>
  <c r="I47" i="1"/>
  <c r="H61" i="1"/>
  <c r="I15" i="1"/>
  <c r="I42" i="1" s="1"/>
  <c r="I52" i="1"/>
  <c r="G62" i="1"/>
  <c r="G73" i="1"/>
  <c r="E38" i="4"/>
  <c r="H48" i="1" l="1"/>
  <c r="H32" i="6" s="1"/>
  <c r="J41" i="6"/>
  <c r="J64" i="1"/>
  <c r="J75" i="1" s="1"/>
  <c r="M6" i="1"/>
  <c r="M8" i="1" s="1"/>
  <c r="L9" i="1"/>
  <c r="L12" i="1" s="1"/>
  <c r="I53" i="5"/>
  <c r="I55" i="5"/>
  <c r="I21" i="5"/>
  <c r="F72" i="1"/>
  <c r="F55" i="1"/>
  <c r="F53" i="1"/>
  <c r="F54" i="1" s="1"/>
  <c r="N31" i="5"/>
  <c r="I31" i="5"/>
  <c r="M31" i="5"/>
  <c r="H31" i="5"/>
  <c r="H38" i="5" s="1"/>
  <c r="J31" i="5"/>
  <c r="L31" i="5"/>
  <c r="K31" i="5"/>
  <c r="H42" i="5"/>
  <c r="G56" i="5"/>
  <c r="G51" i="5"/>
  <c r="G51" i="1" s="1"/>
  <c r="G43" i="5"/>
  <c r="G45" i="5" s="1"/>
  <c r="H41" i="5" s="1"/>
  <c r="G52" i="5"/>
  <c r="M21" i="1"/>
  <c r="M23" i="1" s="1"/>
  <c r="N18" i="1"/>
  <c r="N20" i="1" s="1"/>
  <c r="N21" i="1" s="1"/>
  <c r="N23" i="1" s="1"/>
  <c r="K36" i="1"/>
  <c r="K35" i="1"/>
  <c r="N26" i="1"/>
  <c r="N28" i="1" s="1"/>
  <c r="N29" i="1" s="1"/>
  <c r="N31" i="1" s="1"/>
  <c r="N34" i="1" s="1"/>
  <c r="M29" i="1"/>
  <c r="M31" i="1" s="1"/>
  <c r="J53" i="5"/>
  <c r="J21" i="5"/>
  <c r="J55" i="5"/>
  <c r="L34" i="1"/>
  <c r="K14" i="1"/>
  <c r="K40" i="1"/>
  <c r="K13" i="1"/>
  <c r="I45" i="1"/>
  <c r="I46" i="1" s="1"/>
  <c r="I61" i="1"/>
  <c r="H62" i="1"/>
  <c r="H73" i="1"/>
  <c r="J45" i="1"/>
  <c r="J46" i="1" s="1"/>
  <c r="J48" i="1"/>
  <c r="J32" i="6" s="1"/>
  <c r="H80" i="1"/>
  <c r="J61" i="1"/>
  <c r="J52" i="1"/>
  <c r="H56" i="5" l="1"/>
  <c r="H43" i="5"/>
  <c r="H45" i="5" s="1"/>
  <c r="I41" i="5" s="1"/>
  <c r="H51" i="5"/>
  <c r="H51" i="1" s="1"/>
  <c r="H52" i="5"/>
  <c r="K52" i="1"/>
  <c r="K15" i="1"/>
  <c r="K42" i="1" s="1"/>
  <c r="K37" i="1"/>
  <c r="K43" i="1" s="1"/>
  <c r="K32" i="5"/>
  <c r="M32" i="5"/>
  <c r="L32" i="5"/>
  <c r="N32" i="5"/>
  <c r="J32" i="5"/>
  <c r="I32" i="5"/>
  <c r="I38" i="5" s="1"/>
  <c r="I42" i="5"/>
  <c r="L36" i="1"/>
  <c r="L35" i="1"/>
  <c r="M34" i="1"/>
  <c r="L13" i="1"/>
  <c r="L14" i="1"/>
  <c r="L40" i="1"/>
  <c r="N6" i="1"/>
  <c r="N8" i="1" s="1"/>
  <c r="N9" i="1" s="1"/>
  <c r="N12" i="1" s="1"/>
  <c r="M9" i="1"/>
  <c r="M12" i="1" s="1"/>
  <c r="N35" i="1"/>
  <c r="N36" i="1"/>
  <c r="K41" i="1"/>
  <c r="K41" i="6" s="1"/>
  <c r="K66" i="1"/>
  <c r="K44" i="1"/>
  <c r="K63" i="1"/>
  <c r="K64" i="1" s="1"/>
  <c r="K75" i="1" s="1"/>
  <c r="K58" i="1"/>
  <c r="K47" i="1"/>
  <c r="K33" i="5"/>
  <c r="N33" i="5"/>
  <c r="M33" i="5"/>
  <c r="L33" i="5"/>
  <c r="J33" i="5"/>
  <c r="J42" i="5"/>
  <c r="G72" i="1"/>
  <c r="G53" i="1"/>
  <c r="G54" i="1" s="1"/>
  <c r="G55" i="1"/>
  <c r="F69" i="1"/>
  <c r="F70" i="1" s="1"/>
  <c r="F71" i="1" s="1"/>
  <c r="F76" i="1" s="1"/>
  <c r="F79" i="1" s="1"/>
  <c r="F25" i="6"/>
  <c r="F26" i="6" s="1"/>
  <c r="I48" i="1"/>
  <c r="I32" i="6" s="1"/>
  <c r="J80" i="1"/>
  <c r="J62" i="1"/>
  <c r="J73" i="1"/>
  <c r="I62" i="1"/>
  <c r="I73" i="1"/>
  <c r="L37" i="1" l="1"/>
  <c r="L43" i="1" s="1"/>
  <c r="L52" i="1"/>
  <c r="J38" i="5"/>
  <c r="J52" i="5" s="1"/>
  <c r="I56" i="5"/>
  <c r="I43" i="5"/>
  <c r="I45" i="5" s="1"/>
  <c r="J41" i="5" s="1"/>
  <c r="I51" i="5"/>
  <c r="I51" i="1" s="1"/>
  <c r="I55" i="1" s="1"/>
  <c r="I52" i="5"/>
  <c r="J56" i="5"/>
  <c r="K45" i="1"/>
  <c r="K46" i="1" s="1"/>
  <c r="N37" i="1"/>
  <c r="N43" i="1" s="1"/>
  <c r="M40" i="1"/>
  <c r="M14" i="1"/>
  <c r="M13" i="1"/>
  <c r="F81" i="1"/>
  <c r="F11" i="8"/>
  <c r="F12" i="8" s="1"/>
  <c r="F21" i="6"/>
  <c r="F27" i="6" s="1"/>
  <c r="N14" i="1"/>
  <c r="N40" i="1"/>
  <c r="N13" i="1"/>
  <c r="G69" i="1"/>
  <c r="G70" i="1" s="1"/>
  <c r="G71" i="1" s="1"/>
  <c r="G76" i="1" s="1"/>
  <c r="G79" i="1" s="1"/>
  <c r="K61" i="1"/>
  <c r="K18" i="5"/>
  <c r="L58" i="1"/>
  <c r="L44" i="1"/>
  <c r="L66" i="1"/>
  <c r="L47" i="1"/>
  <c r="L63" i="1"/>
  <c r="L64" i="1" s="1"/>
  <c r="L75" i="1" s="1"/>
  <c r="L41" i="1"/>
  <c r="L41" i="6" s="1"/>
  <c r="H72" i="1"/>
  <c r="H53" i="1"/>
  <c r="H54" i="1" s="1"/>
  <c r="H55" i="1"/>
  <c r="L15" i="1"/>
  <c r="L42" i="1" s="1"/>
  <c r="M35" i="1"/>
  <c r="M36" i="1"/>
  <c r="I80" i="1"/>
  <c r="M52" i="1" l="1"/>
  <c r="N52" i="1" s="1"/>
  <c r="J51" i="5"/>
  <c r="J51" i="1" s="1"/>
  <c r="J53" i="1" s="1"/>
  <c r="J54" i="1" s="1"/>
  <c r="J43" i="5"/>
  <c r="J45" i="5" s="1"/>
  <c r="K41" i="5" s="1"/>
  <c r="M37" i="1"/>
  <c r="M43" i="1" s="1"/>
  <c r="L61" i="1"/>
  <c r="L18" i="5"/>
  <c r="H69" i="1"/>
  <c r="H70" i="1" s="1"/>
  <c r="H71" i="1" s="1"/>
  <c r="H76" i="1" s="1"/>
  <c r="H79" i="1" s="1"/>
  <c r="K62" i="1"/>
  <c r="K73" i="1"/>
  <c r="G81" i="1"/>
  <c r="G21" i="6"/>
  <c r="G11" i="8"/>
  <c r="G12" i="8" s="1"/>
  <c r="M15" i="1"/>
  <c r="M42" i="1" s="1"/>
  <c r="L45" i="1"/>
  <c r="L46" i="1" s="1"/>
  <c r="K48" i="1"/>
  <c r="F16" i="6"/>
  <c r="F17" i="6" s="1"/>
  <c r="I69" i="1"/>
  <c r="I70" i="1" s="1"/>
  <c r="I71" i="1" s="1"/>
  <c r="K53" i="5"/>
  <c r="K21" i="5"/>
  <c r="K55" i="5"/>
  <c r="I72" i="1"/>
  <c r="I53" i="1"/>
  <c r="I54" i="1" s="1"/>
  <c r="N15" i="1"/>
  <c r="N42" i="1" s="1"/>
  <c r="M58" i="1"/>
  <c r="M66" i="1"/>
  <c r="M41" i="1"/>
  <c r="M41" i="6" s="1"/>
  <c r="N41" i="6" s="1"/>
  <c r="M44" i="1"/>
  <c r="M47" i="1"/>
  <c r="M63" i="1"/>
  <c r="M64" i="1" s="1"/>
  <c r="M75" i="1" s="1"/>
  <c r="N47" i="1"/>
  <c r="N63" i="1"/>
  <c r="N41" i="1"/>
  <c r="E18" i="8" s="1"/>
  <c r="N58" i="1"/>
  <c r="N44" i="1"/>
  <c r="N66" i="1"/>
  <c r="F28" i="6" l="1"/>
  <c r="F31" i="6" s="1"/>
  <c r="J55" i="1"/>
  <c r="J69" i="1" s="1"/>
  <c r="J70" i="1" s="1"/>
  <c r="J71" i="1" s="1"/>
  <c r="J76" i="1" s="1"/>
  <c r="J79" i="1" s="1"/>
  <c r="J72" i="1"/>
  <c r="I76" i="1"/>
  <c r="I79" i="1" s="1"/>
  <c r="I21" i="6" s="1"/>
  <c r="M18" i="5"/>
  <c r="M61" i="1"/>
  <c r="N18" i="5"/>
  <c r="N61" i="1"/>
  <c r="G14" i="6"/>
  <c r="N45" i="1"/>
  <c r="N46" i="1" s="1"/>
  <c r="H81" i="1"/>
  <c r="H21" i="6"/>
  <c r="H11" i="8"/>
  <c r="H12" i="8" s="1"/>
  <c r="N64" i="1"/>
  <c r="E25" i="8"/>
  <c r="K32" i="6"/>
  <c r="K80" i="1"/>
  <c r="L48" i="1"/>
  <c r="M45" i="1"/>
  <c r="M46" i="1" s="1"/>
  <c r="L55" i="5"/>
  <c r="L53" i="5"/>
  <c r="L21" i="5"/>
  <c r="K34" i="5"/>
  <c r="K38" i="5" s="1"/>
  <c r="M34" i="5"/>
  <c r="L34" i="5"/>
  <c r="N34" i="5"/>
  <c r="K42" i="5"/>
  <c r="L73" i="1"/>
  <c r="L62" i="1"/>
  <c r="I11" i="8" l="1"/>
  <c r="I12" i="8" s="1"/>
  <c r="I81" i="1"/>
  <c r="G20" i="6"/>
  <c r="G23" i="6" s="1"/>
  <c r="N48" i="1"/>
  <c r="N32" i="6" s="1"/>
  <c r="M48" i="1"/>
  <c r="M32" i="6" s="1"/>
  <c r="F43" i="6"/>
  <c r="F33" i="6"/>
  <c r="F35" i="6"/>
  <c r="G22" i="6"/>
  <c r="N35" i="5"/>
  <c r="M35" i="5"/>
  <c r="L35" i="5"/>
  <c r="L38" i="5" s="1"/>
  <c r="L42" i="5"/>
  <c r="N62" i="1"/>
  <c r="N73" i="1"/>
  <c r="E20" i="8"/>
  <c r="N21" i="5"/>
  <c r="N53" i="5"/>
  <c r="N55" i="5"/>
  <c r="N75" i="1"/>
  <c r="E24" i="8"/>
  <c r="L32" i="6"/>
  <c r="L80" i="1"/>
  <c r="M62" i="1"/>
  <c r="M73" i="1"/>
  <c r="K56" i="5"/>
  <c r="K51" i="5"/>
  <c r="K51" i="1" s="1"/>
  <c r="K43" i="5"/>
  <c r="K45" i="5" s="1"/>
  <c r="L41" i="5" s="1"/>
  <c r="K52" i="5"/>
  <c r="J11" i="8"/>
  <c r="J12" i="8" s="1"/>
  <c r="J21" i="6"/>
  <c r="J81" i="1"/>
  <c r="M21" i="5"/>
  <c r="M55" i="5"/>
  <c r="M53" i="5"/>
  <c r="E31" i="8" l="1"/>
  <c r="E33" i="8" s="1"/>
  <c r="N80" i="1"/>
  <c r="F34" i="6"/>
  <c r="M80" i="1"/>
  <c r="N36" i="5"/>
  <c r="M36" i="5"/>
  <c r="M38" i="5" s="1"/>
  <c r="M42" i="5"/>
  <c r="L56" i="5"/>
  <c r="L43" i="5"/>
  <c r="L45" i="5" s="1"/>
  <c r="M41" i="5" s="1"/>
  <c r="L51" i="5"/>
  <c r="L51" i="1" s="1"/>
  <c r="L52" i="5"/>
  <c r="G24" i="6"/>
  <c r="G36" i="6"/>
  <c r="G25" i="6"/>
  <c r="G26" i="6" s="1"/>
  <c r="K53" i="1"/>
  <c r="K54" i="1" s="1"/>
  <c r="K72" i="1"/>
  <c r="K55" i="1"/>
  <c r="K69" i="1" s="1"/>
  <c r="K70" i="1" s="1"/>
  <c r="K71" i="1" s="1"/>
  <c r="K76" i="1" s="1"/>
  <c r="K79" i="1" s="1"/>
  <c r="N37" i="5"/>
  <c r="N42" i="5"/>
  <c r="N38" i="5" l="1"/>
  <c r="G27" i="6"/>
  <c r="G16" i="6"/>
  <c r="G17" i="6" s="1"/>
  <c r="N56" i="5"/>
  <c r="N51" i="5"/>
  <c r="N51" i="1" s="1"/>
  <c r="N43" i="5"/>
  <c r="N52" i="5"/>
  <c r="L72" i="1"/>
  <c r="L53" i="1"/>
  <c r="L54" i="1" s="1"/>
  <c r="L55" i="1"/>
  <c r="L69" i="1" s="1"/>
  <c r="L70" i="1" s="1"/>
  <c r="L71" i="1" s="1"/>
  <c r="K11" i="8"/>
  <c r="K12" i="8" s="1"/>
  <c r="K81" i="1"/>
  <c r="K21" i="6"/>
  <c r="M56" i="5"/>
  <c r="M43" i="5"/>
  <c r="M45" i="5" s="1"/>
  <c r="N41" i="5" s="1"/>
  <c r="M51" i="5"/>
  <c r="M51" i="1" s="1"/>
  <c r="M52" i="5"/>
  <c r="L76" i="1" l="1"/>
  <c r="L79" i="1" s="1"/>
  <c r="M72" i="1"/>
  <c r="M53" i="1"/>
  <c r="M54" i="1" s="1"/>
  <c r="M55" i="1"/>
  <c r="M69" i="1" s="1"/>
  <c r="E21" i="8"/>
  <c r="E23" i="8" s="1"/>
  <c r="N72" i="1"/>
  <c r="N53" i="1"/>
  <c r="N54" i="1" s="1"/>
  <c r="N55" i="1"/>
  <c r="N69" i="1" s="1"/>
  <c r="N70" i="1" s="1"/>
  <c r="N71" i="1" s="1"/>
  <c r="G28" i="6"/>
  <c r="N45" i="5"/>
  <c r="H14" i="6"/>
  <c r="H22" i="6" s="1"/>
  <c r="N76" i="1" l="1"/>
  <c r="N79" i="1" s="1"/>
  <c r="H20" i="6"/>
  <c r="H23" i="6" s="1"/>
  <c r="N11" i="8"/>
  <c r="N81" i="1"/>
  <c r="N21" i="6"/>
  <c r="M70" i="1"/>
  <c r="M71" i="1" s="1"/>
  <c r="M76" i="1" s="1"/>
  <c r="M79" i="1" s="1"/>
  <c r="G31" i="6"/>
  <c r="L11" i="8"/>
  <c r="L12" i="8" s="1"/>
  <c r="L21" i="6"/>
  <c r="L81" i="1"/>
  <c r="H24" i="6" l="1"/>
  <c r="H36" i="6"/>
  <c r="H25" i="6"/>
  <c r="H26" i="6" s="1"/>
  <c r="H27" i="6" s="1"/>
  <c r="H16" i="6" s="1"/>
  <c r="H17" i="6" s="1"/>
  <c r="G33" i="6"/>
  <c r="G35" i="6"/>
  <c r="M11" i="8"/>
  <c r="M12" i="8" s="1"/>
  <c r="M81" i="1"/>
  <c r="M21" i="6"/>
  <c r="N12" i="8"/>
  <c r="E19" i="8"/>
  <c r="E26" i="8" s="1"/>
  <c r="E27" i="8" s="1"/>
  <c r="G34" i="6" l="1"/>
  <c r="E13" i="8"/>
  <c r="H28" i="6"/>
  <c r="H31" i="6" s="1"/>
  <c r="E30" i="8"/>
  <c r="E38" i="8"/>
  <c r="I14" i="6"/>
  <c r="I20" i="6" l="1"/>
  <c r="I23" i="6" s="1"/>
  <c r="I22" i="6"/>
  <c r="H33" i="6"/>
  <c r="H35" i="6"/>
  <c r="E37" i="8"/>
  <c r="D35" i="4" s="1"/>
  <c r="E35" i="4" s="1"/>
  <c r="E34" i="8"/>
  <c r="E36" i="8" s="1"/>
  <c r="H34" i="6" l="1"/>
  <c r="E41" i="8"/>
  <c r="I24" i="6"/>
  <c r="I36" i="6"/>
  <c r="I25" i="6"/>
  <c r="I26" i="6" s="1"/>
  <c r="E53" i="8" l="1"/>
  <c r="D14" i="4"/>
  <c r="I27" i="6"/>
  <c r="E52" i="8"/>
  <c r="D21" i="4" s="1"/>
  <c r="E45" i="8"/>
  <c r="D16" i="4" s="1"/>
  <c r="D22" i="4" l="1"/>
  <c r="D33" i="4"/>
  <c r="E33" i="4" s="1"/>
  <c r="E47" i="8"/>
  <c r="D18" i="4" s="1"/>
  <c r="E54" i="8"/>
  <c r="I16" i="6"/>
  <c r="I17" i="6" s="1"/>
  <c r="J14" i="6" l="1"/>
  <c r="I28" i="6"/>
  <c r="C83" i="8"/>
  <c r="E49" i="8"/>
  <c r="D20" i="4" s="1"/>
  <c r="C74" i="8"/>
  <c r="J20" i="6" l="1"/>
  <c r="J23" i="6"/>
  <c r="J22" i="6"/>
  <c r="I31" i="6"/>
  <c r="I33" i="6" l="1"/>
  <c r="I35" i="6"/>
  <c r="J36" i="6"/>
  <c r="J24" i="6"/>
  <c r="J25" i="6"/>
  <c r="J26" i="6" s="1"/>
  <c r="I34" i="6" l="1"/>
  <c r="J27" i="6"/>
  <c r="J16" i="6" s="1"/>
  <c r="J17" i="6" s="1"/>
  <c r="J28" i="6" l="1"/>
  <c r="K14" i="6"/>
  <c r="K22" i="6" s="1"/>
  <c r="J31" i="6"/>
  <c r="K20" i="6" l="1"/>
  <c r="K23" i="6" s="1"/>
  <c r="J35" i="6"/>
  <c r="J33" i="6"/>
  <c r="K24" i="6"/>
  <c r="K36" i="6"/>
  <c r="K25" i="6"/>
  <c r="K26" i="6" s="1"/>
  <c r="K27" i="6" s="1"/>
  <c r="J34" i="6" l="1"/>
  <c r="K16" i="6"/>
  <c r="K17" i="6" s="1"/>
  <c r="K28" i="6" l="1"/>
  <c r="L20" i="6" s="1"/>
  <c r="L23" i="6"/>
  <c r="L14" i="6"/>
  <c r="L22" i="6" s="1"/>
  <c r="K31" i="6"/>
  <c r="K35" i="6" l="1"/>
  <c r="K33" i="6"/>
  <c r="K34" i="6" s="1"/>
  <c r="L25" i="6"/>
  <c r="L26" i="6" s="1"/>
  <c r="L36" i="6"/>
  <c r="L24" i="6"/>
  <c r="G39" i="6"/>
  <c r="G42" i="6" s="1"/>
  <c r="G43" i="6" s="1"/>
  <c r="F40" i="6"/>
  <c r="L27" i="6" l="1"/>
  <c r="L16" i="6" s="1"/>
  <c r="L17" i="6" s="1"/>
  <c r="H39" i="6"/>
  <c r="H42" i="6" s="1"/>
  <c r="H40" i="6" s="1"/>
  <c r="G40" i="6"/>
  <c r="L28" i="6" l="1"/>
  <c r="M20" i="6" s="1"/>
  <c r="H43" i="6"/>
  <c r="I39" i="6"/>
  <c r="I42" i="6" s="1"/>
  <c r="M23" i="6"/>
  <c r="M14" i="6"/>
  <c r="M22" i="6" s="1"/>
  <c r="L31" i="6"/>
  <c r="L33" i="6" l="1"/>
  <c r="L34" i="6" s="1"/>
  <c r="L35" i="6"/>
  <c r="M24" i="6"/>
  <c r="M36" i="6"/>
  <c r="M25" i="6"/>
  <c r="M26" i="6" s="1"/>
  <c r="J39" i="6"/>
  <c r="J42" i="6" s="1"/>
  <c r="I40" i="6"/>
  <c r="I43" i="6"/>
  <c r="M27" i="6" l="1"/>
  <c r="M16" i="6"/>
  <c r="M17" i="6" s="1"/>
  <c r="J43" i="6"/>
  <c r="J40" i="6"/>
  <c r="K39" i="6"/>
  <c r="K42" i="6" s="1"/>
  <c r="M28" i="6" l="1"/>
  <c r="N20" i="6" s="1"/>
  <c r="K43" i="6"/>
  <c r="K40" i="6"/>
  <c r="L39" i="6"/>
  <c r="L42" i="6" s="1"/>
  <c r="N14" i="6"/>
  <c r="N22" i="6" s="1"/>
  <c r="M31" i="6"/>
  <c r="M33" i="6" l="1"/>
  <c r="M34" i="6" s="1"/>
  <c r="M35" i="6"/>
  <c r="L43" i="6"/>
  <c r="M39" i="6"/>
  <c r="M42" i="6" s="1"/>
  <c r="L40" i="6"/>
  <c r="N23" i="6"/>
  <c r="N25" i="6" s="1"/>
  <c r="N26" i="6" s="1"/>
  <c r="N24" i="6" l="1"/>
  <c r="N27" i="6" s="1"/>
  <c r="N36" i="6"/>
  <c r="M43" i="6"/>
  <c r="M40" i="6"/>
  <c r="N39" i="6"/>
  <c r="N42" i="6" s="1"/>
  <c r="N40" i="6" l="1"/>
  <c r="N16" i="6"/>
  <c r="N17" i="6" s="1"/>
  <c r="N28" i="6" l="1"/>
  <c r="D40" i="4" s="1"/>
  <c r="E40" i="4" s="1"/>
  <c r="N31" i="6"/>
  <c r="N35" i="6" l="1"/>
  <c r="N33" i="6"/>
  <c r="N43" i="6"/>
  <c r="N34" i="6" l="1"/>
  <c r="D41" i="4"/>
  <c r="E41" i="4" s="1"/>
</calcChain>
</file>

<file path=xl/sharedStrings.xml><?xml version="1.0" encoding="utf-8"?>
<sst xmlns="http://schemas.openxmlformats.org/spreadsheetml/2006/main" count="1249" uniqueCount="735">
  <si>
    <t>Operating Model</t>
  </si>
  <si>
    <t>A$ millions unless stated</t>
  </si>
  <si>
    <t>KFC Australia</t>
  </si>
  <si>
    <t>Restaurants - Opening</t>
  </si>
  <si>
    <t>Net new restaurants</t>
  </si>
  <si>
    <t>Restaurants - Closing</t>
  </si>
  <si>
    <t>Avg restaurant trading</t>
  </si>
  <si>
    <t>Avg unit volume (AUV)</t>
  </si>
  <si>
    <t>53rd week adjustment</t>
  </si>
  <si>
    <t>Revenue</t>
  </si>
  <si>
    <t>Restaurant-level EBITDA</t>
  </si>
  <si>
    <t>Segment G&amp;A</t>
  </si>
  <si>
    <t>Segment EBITDA (Post-AASB16)</t>
  </si>
  <si>
    <t>KFC Germany</t>
  </si>
  <si>
    <t>KFC Netherlands</t>
  </si>
  <si>
    <t>KFC Europe</t>
  </si>
  <si>
    <t>GROUP PROFIT &amp; LOSS</t>
  </si>
  <si>
    <t>Total Revenue</t>
  </si>
  <si>
    <t>Revenue Growth</t>
  </si>
  <si>
    <t>Segment EBITDA - Australia</t>
  </si>
  <si>
    <t>Segment EBITDA - Europe</t>
  </si>
  <si>
    <t>Unallocated corporate cost</t>
  </si>
  <si>
    <t>EBITDA (Post-AASB16)</t>
  </si>
  <si>
    <t>EBITDA Margin (Post-AASB16)</t>
  </si>
  <si>
    <t>less: Rent expense</t>
  </si>
  <si>
    <t>EBITDA (Pre-AASB16)</t>
  </si>
  <si>
    <t>D&amp;A excluding right-of-use assets</t>
  </si>
  <si>
    <t>Right-of-use asset depreciation</t>
  </si>
  <si>
    <t>Total D&amp;A (post-AASB 16)</t>
  </si>
  <si>
    <t>EBIT (Post-AASB16)</t>
  </si>
  <si>
    <t>EBIT (Pre-AASB16)</t>
  </si>
  <si>
    <t>DEPRECIATION AND AMORTISATION AND WORKING CAPITAL</t>
  </si>
  <si>
    <t>CAPITAL EXPENDITURE AND WORKING CAPITAL</t>
  </si>
  <si>
    <t>Maintenance and remodel capex</t>
  </si>
  <si>
    <t>New restaurant capex</t>
  </si>
  <si>
    <t>Project capex (Kwench and other)</t>
  </si>
  <si>
    <t>Total capex</t>
  </si>
  <si>
    <t>Capex as % of revenue</t>
  </si>
  <si>
    <t>Net working capital balance</t>
  </si>
  <si>
    <t>Cash released from working capital</t>
  </si>
  <si>
    <t>Acquisition consideration</t>
  </si>
  <si>
    <t>Memo: lease liability balance</t>
  </si>
  <si>
    <t>EBIT (pre-AASB 16)</t>
  </si>
  <si>
    <t>Less: tax on EBIT</t>
  </si>
  <si>
    <t>NOPAT</t>
  </si>
  <si>
    <t>Add back: D&amp;A excluding right-of-use</t>
  </si>
  <si>
    <t>Less: capital expenditure</t>
  </si>
  <si>
    <t>Less: acquisitions</t>
  </si>
  <si>
    <t>Working capital movement</t>
  </si>
  <si>
    <t>FCFF (pre-AASB 16)</t>
  </si>
  <si>
    <t>UNLEVERED FREE CASH FLOW — PRE-AASB 16 BASIS</t>
  </si>
  <si>
    <t>VALUATION CASH FLOW AND MULTIPLE BASE</t>
  </si>
  <si>
    <t>FCFF used in the valuation</t>
  </si>
  <si>
    <t>EBITDA used for multiples (pre-AASB 16)</t>
  </si>
  <si>
    <t>FCFF conversion (FCFF / EBITDA)</t>
  </si>
  <si>
    <t>REPORTED HISTORICALS</t>
  </si>
  <si>
    <t>Units</t>
  </si>
  <si>
    <t>Line item</t>
  </si>
  <si>
    <t>Group</t>
  </si>
  <si>
    <t>Unit</t>
  </si>
  <si>
    <t>FY23A</t>
  </si>
  <si>
    <t>FY24A</t>
  </si>
  <si>
    <t>FY25A</t>
  </si>
  <si>
    <t>FY26A</t>
  </si>
  <si>
    <t>Source</t>
  </si>
  <si>
    <t>Underlying EBITDA (post-AASB 16)</t>
  </si>
  <si>
    <t>Underlying EBITDA (pre-AASB 16)</t>
  </si>
  <si>
    <t>Underlying EBIT (post-AASB 16)</t>
  </si>
  <si>
    <t>Underlying EBIT (pre-AASB 16)</t>
  </si>
  <si>
    <t>Underlying NPAT (post-AASB 16)</t>
  </si>
  <si>
    <t>Underlying NPAT (pre-AASB 16)</t>
  </si>
  <si>
    <t>Statutory NPAT</t>
  </si>
  <si>
    <t>Underlying D&amp;A</t>
  </si>
  <si>
    <t>Underlying net interest</t>
  </si>
  <si>
    <t>Basic EPS underlying (cents)</t>
  </si>
  <si>
    <t>A$m</t>
  </si>
  <si>
    <t>cents</t>
  </si>
  <si>
    <t>FY26 presentations</t>
  </si>
  <si>
    <t>Restaurants at year end</t>
  </si>
  <si>
    <t>no.</t>
  </si>
  <si>
    <t>Same store sales growth</t>
  </si>
  <si>
    <t>%</t>
  </si>
  <si>
    <t>Restaurant-level EBITDA margin</t>
  </si>
  <si>
    <t>Segment EBITDA (post-AASB 16)</t>
  </si>
  <si>
    <t>Segment EBIT (post-AASB 16)</t>
  </si>
  <si>
    <t>KFC EUROPE (Germany and the Netherlands)</t>
  </si>
  <si>
    <t xml:space="preserve">  of which Germany</t>
  </si>
  <si>
    <t xml:space="preserve">  of which the Netherlands</t>
  </si>
  <si>
    <t>Germany same store sales growth</t>
  </si>
  <si>
    <t>Netherlands  same store sales growth</t>
  </si>
  <si>
    <t>GERMANY / NETHERLANDS REVENUE SPLIT — SOLVED, NOT ESTIMATED</t>
  </si>
  <si>
    <t>Netherlands revenue growth (reported, AUD)</t>
  </si>
  <si>
    <t>Germany revenue growth (reported, AUD)</t>
  </si>
  <si>
    <t>Netherlands revenue — FY25 (solved)</t>
  </si>
  <si>
    <t>Germany revenue — FY25 (solved)</t>
  </si>
  <si>
    <t>Netherlands revenue — FY26</t>
  </si>
  <si>
    <t>Germany revenue — FY26</t>
  </si>
  <si>
    <t>Check: solved split sums to reported Europe revenue</t>
  </si>
  <si>
    <t>Implied FY26 AUV — Germany</t>
  </si>
  <si>
    <t>Implied FY26 AUV — Netherlands</t>
  </si>
  <si>
    <t>BALANCE SHEET AND CASH FLOW</t>
  </si>
  <si>
    <t>Cash and equivalents</t>
  </si>
  <si>
    <t>Gross debt</t>
  </si>
  <si>
    <t>Net debt (excluding lease liabilities)</t>
  </si>
  <si>
    <t>Lease liabilities (current + non-current)</t>
  </si>
  <si>
    <t>Net leverage ratio (pre-AASB 16)</t>
  </si>
  <si>
    <t>x</t>
  </si>
  <si>
    <t>Capex — property, plant and equipment</t>
  </si>
  <si>
    <t>Capex — intangibles</t>
  </si>
  <si>
    <t>Income tax paid</t>
  </si>
  <si>
    <t>Lease principal payments</t>
  </si>
  <si>
    <t>Interest paid on leases</t>
  </si>
  <si>
    <t>Net operating cash flow</t>
  </si>
  <si>
    <t>Net debt including lease liabilities</t>
  </si>
  <si>
    <t>Directors report in annual report</t>
  </si>
  <si>
    <t>AASB 16 BRIDGE — FY26A</t>
  </si>
  <si>
    <t>This reconciliation is what makes the dual-basis model possible</t>
  </si>
  <si>
    <t>Implied effective tax rate</t>
  </si>
  <si>
    <t>1 less underlying NPAT divided by underlying profit before tax (EBIT less net interest)</t>
  </si>
  <si>
    <t>Rent expense (pre-AASB 16 lens)</t>
  </si>
  <si>
    <t>Post-AASB 16 EBITDA less pre-AASB 16 EBITDA — the rent that AASB 16 removes from operating costs</t>
  </si>
  <si>
    <t>Post-AASB 16 D&amp;A less pre-AASB 16 D&amp;A</t>
  </si>
  <si>
    <t>Lease interest expense</t>
  </si>
  <si>
    <t>Solved from the pre-AASB 16 profit and loss: grossed-up pre-AASB 16 NPAT less pre-AASB 16 EBIT plus total net interest</t>
  </si>
  <si>
    <t>Check: ROU depreciation + lease interest less rent</t>
  </si>
  <si>
    <t>Should be a small positive number — AASB 16 front-loads lease costs, so depreciation plus interest exceeds straight-line rent in a growing estate</t>
  </si>
  <si>
    <t>Implied cost of lease debt</t>
  </si>
  <si>
    <t>Lease interest over average lease liability. Feeds the blended cost of debt on the WACC sheet</t>
  </si>
  <si>
    <t>Solves NL + DE = Europe FY25 and NL x 1.116 + DE x 1.158 = Europe FY26 simultaneously</t>
  </si>
  <si>
    <t>FORECAST ASSUMPTIONS</t>
  </si>
  <si>
    <t xml:space="preserve">  BASE CASE</t>
  </si>
  <si>
    <t>Driver</t>
  </si>
  <si>
    <t>FY27E</t>
  </si>
  <si>
    <t>FY28E</t>
  </si>
  <si>
    <t>FY29E</t>
  </si>
  <si>
    <t>FY30E</t>
  </si>
  <si>
    <t>FY31E</t>
  </si>
  <si>
    <t>Basis and source</t>
  </si>
  <si>
    <t>KFC AUSTRALIA</t>
  </si>
  <si>
    <t>Management guides 7-10 new Australian restaurants in FY27 (p.35). FY26 actual: 8 opened, 1 closed, 1 relocated.</t>
  </si>
  <si>
    <t>FY26 actual +2.7%. First 8 weeks of FY27 running at +4.0% (p.35). Base fades toward long-run food inflation plus modest traffic growth.</t>
  </si>
  <si>
    <t>Kwench incremental sales uplift</t>
  </si>
  <si>
    <t>Management cites an initial 2-3% sales increase, with 80% of the network rolled out by April 2027 and 100% by mid-2027 (p.31). Applied on top of same store sales and phased over the rollout.</t>
  </si>
  <si>
    <t>FY26 actual 21.0%, down 26bps on delivery channel mix and value investment. Base assumes stabilisation; downside assumes Australian labour inflation is not offset by productivity.</t>
  </si>
  <si>
    <t>Segment G&amp;A as % of revenue</t>
  </si>
  <si>
    <t>FY26 actual 1.88% (restaurant EBITDA $260.5m less segment EBITDA $237.1m = $23.4m). Steps up in FY27 for the $2m+ training investment flagged on p.28.</t>
  </si>
  <si>
    <t>KFC GERMANY</t>
  </si>
  <si>
    <t>Base follows management's base-case network chart (p.33): 25 restaurants at FY26 post-Munich, then 32 / 42 / 55 / 71 through FY30. Upside follows the upper range 36 / 58 / 86 / 115. FY27 includes the 8 acquired Munich restaurants.</t>
  </si>
  <si>
    <t>of which acquired rather than built</t>
  </si>
  <si>
    <t>The Munich acquisition of 8 restaurants completed 1 June 2026. These are bought, not built, so they must be excluded from new-restaurant capex and charged instead as acquisition consideration — otherwise the model double-counts the cost of the same 8 restaurants.</t>
  </si>
  <si>
    <t>FY26 actual +3.7%. First 8 weeks of FY27 at -7.2% on a prolonged heatwave, weaker limited-time offers and soft consumer confidence (p.35). Base assumes a part-year drag then recovery.</t>
  </si>
  <si>
    <t>KFC NETHERLANDS</t>
  </si>
  <si>
    <t>A mature network — FY26 added one net restaurant. No expansion programme is disclosed.</t>
  </si>
  <si>
    <t>FY26 actual 0.0%. First 8 weeks of FY27 at -7.8% (p.35). The Corporate Franchise Agreement has been extended to 31 December 2029 and Yum! resumes marketing responsibility from 1 January 2027 (p.23).</t>
  </si>
  <si>
    <t>KFC EUROPE — SHARED</t>
  </si>
  <si>
    <t>FY26 actual 19.3%, down 53bps on avian-influenza poultry costs which management expects to dissipate over FY27 (p.35). Modelled at the Europe level because CKF does not disclose margin by country.</t>
  </si>
  <si>
    <t>FY26 actual 6.52% (restaurant EBITDA $67.8m less segment EBITDA $44.9m = $22.9m). FY27 absorbs the $3m incremental German G&amp;A investment flagged on p.33, then leverages as the network scales.</t>
  </si>
  <si>
    <t>GROUP COSTS, CAPITAL AND WORKING CAPITAL</t>
  </si>
  <si>
    <t>Unallocated corporate costs as % of revenue</t>
  </si>
  <si>
    <t>FY26 actual 2.35%: segment EBITDA of $237.1m + $44.9m = $282.0m less reported group EBITDA of $244.5m = $37.5m. Not separately disclosed — derived as the residual.</t>
  </si>
  <si>
    <t>Rent expense as % of revenue</t>
  </si>
  <si>
    <t>FY26 implied 5.26% ($83.7m of rent, being post-AASB 16 EBITDA less pre-AASB 16 EBITDA). Only used on the pre-AASB 16 basis.</t>
  </si>
  <si>
    <t>Maintenance and remodel capex as % of revenue</t>
  </si>
  <si>
    <t>FY26 actual: $15.3m asset capital maintenance + $16.8m remodels + $6.0m digital and sustainability = $38.1m, or 2.39% of revenue (p.9). FY27 is lower because spend is diverted to Kwench.</t>
  </si>
  <si>
    <t>Kwench and other project capex</t>
  </si>
  <si>
    <t>Management guides Kwench capex of $35m in FY27 and $10m in FY28 (p.31). Modelled as discrete project spend rather than a percentage of revenue.</t>
  </si>
  <si>
    <t>New restaurant capex — Australia</t>
  </si>
  <si>
    <t>A$m/store</t>
  </si>
  <si>
    <t>Derived from FY26 new restaurant capex of $13.8m (p.9) spread across Australian and German openings, escalated for build cost inflation.</t>
  </si>
  <si>
    <t>New restaurant capex — Germany</t>
  </si>
  <si>
    <t>Higher than Australia. FY27 German capex is guided at approximately $20m for around 7 new restaurants plus pipeline development (p.33).</t>
  </si>
  <si>
    <t>New restaurant capex — Netherlands</t>
  </si>
  <si>
    <t>Assumed between the Australian and German build cost. Not separately disclosed.</t>
  </si>
  <si>
    <t>Net working capital as % of revenue</t>
  </si>
  <si>
    <t>NEGATIVE by design: quick service restaurants collect cash instantly and pay suppliers on terms, so growth releases cash. REFINE THIS from the FY26 Annual Report receivables, inventory and payables notes — the results presentation does not give the detail.</t>
  </si>
  <si>
    <t>Effective tax rate</t>
  </si>
  <si>
    <t>Australian statutory rate. The FY26 underlying effective rate was 29.9% ($26.2m tax on $87.7m profit before tax, p.8), so the statutory rate is a fair proxy despite Dutch and German earnings.</t>
  </si>
  <si>
    <t>TERMINAL ASSUMPTIONS</t>
  </si>
  <si>
    <t>Terminal growth rate</t>
  </si>
  <si>
    <t>Long-run nominal growth. The RBA target band midpoint is 2.5%, so this assumes no real growth in perpetuity — appropriate for a mature franchisee operating in defined territories.</t>
  </si>
  <si>
    <t>Terminal exit EV/EBITDA multiple</t>
  </si>
  <si>
    <t>Applied to terminal year EBITDA on the active lease basis. CKF currently trades on roughly 6.8x FY26 pre-AASB 16 EBITDA. Populate the Comps sheet to sharpen this.</t>
  </si>
  <si>
    <t>CONTROL PANEL</t>
  </si>
  <si>
    <t>Change the switches and the whole model re-runs. Start here.</t>
  </si>
  <si>
    <t xml:space="preserve">  SWITCHES</t>
  </si>
  <si>
    <t>Switch</t>
  </si>
  <si>
    <t>Setting</t>
  </si>
  <si>
    <t>Reads as</t>
  </si>
  <si>
    <t>Options</t>
  </si>
  <si>
    <t>Scenario</t>
  </si>
  <si>
    <t>1 = Base   |   2 = Upside   |   3 = Downside</t>
  </si>
  <si>
    <t>Kwench by KFC initiative</t>
  </si>
  <si>
    <t>1 = Include the uplift   |   2 = Strip it out, to isolate what the initiative is worth</t>
  </si>
  <si>
    <t>Terminal value method</t>
  </si>
  <si>
    <t>1 = Gordon growth perpetuity   |   2 = Exit EV/EBITDA multiple</t>
  </si>
  <si>
    <t>Discounting convention</t>
  </si>
  <si>
    <t>1 = Mid-year   |   2 = Year-end</t>
  </si>
  <si>
    <t xml:space="preserve">  VALUATION SUMMARY</t>
  </si>
  <si>
    <t>Output</t>
  </si>
  <si>
    <t>Value</t>
  </si>
  <si>
    <t>Comment</t>
  </si>
  <si>
    <t>Enterprise value (A$m)</t>
  </si>
  <si>
    <t>PV of forecast cash flows plus PV of terminal value</t>
  </si>
  <si>
    <t>Net debt deducted (A$m)</t>
  </si>
  <si>
    <t>Includes lease liabilities only on a post-AASB 16 basis</t>
  </si>
  <si>
    <t>Equity value (A$m)</t>
  </si>
  <si>
    <t>Enterprise value less net debt</t>
  </si>
  <si>
    <t>Shares on issue (m)</t>
  </si>
  <si>
    <t>Underlying NPAT divided by reported basic EPS</t>
  </si>
  <si>
    <t>Value per share (A$)</t>
  </si>
  <si>
    <t>The headline output</t>
  </si>
  <si>
    <t>Current share price (A$)</t>
  </si>
  <si>
    <t>Early August 2026</t>
  </si>
  <si>
    <t>Premium / (discount) to market</t>
  </si>
  <si>
    <t>Positive means the model says CKF is undervalued</t>
  </si>
  <si>
    <t>Implied FY27E EV/EBITDA</t>
  </si>
  <si>
    <t>Sense-check against the trading comparables</t>
  </si>
  <si>
    <t>Terminal value as % of EV</t>
  </si>
  <si>
    <t>How much of the answer is the perpetuity assumption</t>
  </si>
  <si>
    <t xml:space="preserve">  INTEGRITY CHECKS</t>
  </si>
  <si>
    <t>Check</t>
  </si>
  <si>
    <t>Result</t>
  </si>
  <si>
    <t>Status</t>
  </si>
  <si>
    <t>What it proves</t>
  </si>
  <si>
    <t>FY26A modelled revenue less reported</t>
  </si>
  <si>
    <t>The driver build reproduces the actual year — the wiring is right</t>
  </si>
  <si>
    <t>FY26A modelled EBITDA less reported</t>
  </si>
  <si>
    <t>Margin and cost assumptions rebuild reported EBITDA</t>
  </si>
  <si>
    <t>Segment revenue sums to group</t>
  </si>
  <si>
    <t>No segment double-counted or dropped</t>
  </si>
  <si>
    <t>AASB 16 bridge closes</t>
  </si>
  <si>
    <t>Rent, ROU depreciation and lease interest reconcile between the two bases</t>
  </si>
  <si>
    <t>Scenario switch in valid range</t>
  </si>
  <si>
    <t>CHOOSE() returns an error outside 1 to 3</t>
  </si>
  <si>
    <t>WACC less terminal growth</t>
  </si>
  <si>
    <t>Gordon growth explodes as growth approaches WACC</t>
  </si>
  <si>
    <t>FY27E capex versus $80-100m guidance</t>
  </si>
  <si>
    <t>Base case only — the Upside deliberately builds more restaurants than guidance, so it should spend more</t>
  </si>
  <si>
    <t>Terminal value share of EV</t>
  </si>
  <si>
    <t>NOTE is normal for a stable business on a 5-year horizon; validate it with the implied exit multiple below</t>
  </si>
  <si>
    <t>Lease liabilities excluded from bridge</t>
  </si>
  <si>
    <t>Must be zero, because rent is still an operating cost in the cash flows</t>
  </si>
  <si>
    <t>Implied Gordon exit multiple is sane</t>
  </si>
  <si>
    <t>A Gordon terminal value implying a wild multiple means bad inputs</t>
  </si>
  <si>
    <t>Europe split sums to reported revenue</t>
  </si>
  <si>
    <t>Germany and Netherlands are solved independently, so this is a real cross-check</t>
  </si>
  <si>
    <t>FY26A D&amp;A per roll-forward vs reported</t>
  </si>
  <si>
    <t>The fixed asset roll-forward reproduces reported depreciation and amortisation</t>
  </si>
  <si>
    <t>FY26A closing gross debt vs reported</t>
  </si>
  <si>
    <t>Debt schedule anchors to the reported balance sheet</t>
  </si>
  <si>
    <t>FY26A closing lease liability vs reported</t>
  </si>
  <si>
    <t>Lease roll-forward anchors to the reported balance sheet</t>
  </si>
  <si>
    <t>Cash never falls below the minimum</t>
  </si>
  <si>
    <t>The plan is fundable — no year requires cash the company does not have</t>
  </si>
  <si>
    <t>Covenant never breached</t>
  </si>
  <si>
    <t>Net leverage stays inside the covenant across the forecast</t>
  </si>
  <si>
    <t xml:space="preserve">  UPSIDE CASE</t>
  </si>
  <si>
    <t xml:space="preserve">  DOWNSIDE CASE</t>
  </si>
  <si>
    <t xml:space="preserve">  LIVE — SELECTED SCENARIO (formulas, do not overwrite)</t>
  </si>
  <si>
    <t>Active scenario:</t>
  </si>
  <si>
    <t>Logic and reasoning</t>
  </si>
  <si>
    <t>FY26 is the reported movement from 288 to 295. Forecast years come from the live assumption block.</t>
  </si>
  <si>
    <t>Average of opening and closing. Revenue is earned across the year, not at the closing count — using closing store numbers overstates revenue in any rollout year.</t>
  </si>
  <si>
    <t>FY26 AUV is reported revenue over average restaurants. Grown by same store sales plus the Kwench uplift, which can be switched off on Control to isolate what that single initiative is worth. This line drives roughly 78% of group revenue.</t>
  </si>
  <si>
    <t>FY26 was a 53-week year and FY27 reverts to 52. One week of Australian trading is removed from FY27 — a real headwind that headline growth rates hide.</t>
  </si>
  <si>
    <t>FY27 includes the 8-restaurant Munich acquisition, which completed 1 June 2026 — after the 3 May 2026 year end, so it lands in FY27 rather than FY26.</t>
  </si>
  <si>
    <t>SOLVED, not estimated. CKF reports Europe as one segment, but the Annual Report discloses Netherlands revenue growth of 11.6% and German growth of 15.8%. Two equations, two unknowns — see the derivation block on the Historicals sheet.</t>
  </si>
  <si>
    <t>From the same solved split. Because both countries are now derived independently rather than one being a plug, the Europe total becomes a genuine cross-check rather than an identity — see the check row on Historicals.</t>
  </si>
  <si>
    <t>Not disclosed as a segment. Derived as the gap between the sum of the two segment EBITDAs and reported group EBITDA.</t>
  </si>
  <si>
    <t>Only relevant on the pre-AASB 16 basis. Under AASB 16 this cost is split into right-of-use depreciation and lease interest, and disappears from EBITDA entirely.</t>
  </si>
  <si>
    <t>Now driven by the fixed asset roll-forward on the Capex &amp; PPE sheet — depreciation is an output of what you spend, not a percentage of revenue.</t>
  </si>
  <si>
    <t>Scaled with revenue as a proxy for network growth — the right-of-use asset base grows broadly in line with the restaurant estate.</t>
  </si>
  <si>
    <t>FY26 actual: $15.3m asset capital maintenance + $16.8m remodels + $6.0m digital and sustainability (p.9).</t>
  </si>
  <si>
    <t>Net BUILT restaurants by geography times build cost per restaurant. Acquired restaurants are stripped out here and charged below as acquisition consideration instead — charging them twice was inflating FY27 capex well past management's guidance.</t>
  </si>
  <si>
    <t>Shown positive for readability and subtracted in the cash flow build below. Cross-check FY27 against management guidance of $80-100m (p.35).</t>
  </si>
  <si>
    <t>Working capital is negative, so growth RELEASES cash. Sign convention: a positive number here adds to free cash flow.</t>
  </si>
  <si>
    <t>ACTUAL. EUR 31.1m ($50.6m), completed 2 June 2026, funded from existing finance facilities (FY26 Annual Report, Subsequent Events). Purchase price accounting is provisional and will be finalised at HY27. It must be deducted because those 8 restaurants generate revenue in the forecast — free earnings with no purchase price is a silent overvaluation.</t>
  </si>
  <si>
    <t>Memo only — scaled with revenue. Not used in the valuation, which is run on a pre-AASB 16 basis. Provided so enterprise value can be restated on an AASB 16 basis when comparing multiples against peers.</t>
  </si>
  <si>
    <t>Pre-AASB 16 throughout. See the 'AASB 16' section on the Notes sheet for why, and for what would have to change to value this on a lease-capitalised basis.</t>
  </si>
  <si>
    <t>CAPITAL EXPENDITURE AND FIXED ASSETS</t>
  </si>
  <si>
    <t>A$ millions</t>
  </si>
  <si>
    <t>Logic and source</t>
  </si>
  <si>
    <t xml:space="preserve">  PROPERTY, PLANT AND EQUIPMENT ROLL-FORWARD</t>
  </si>
  <si>
    <t>Opening PP&amp;E</t>
  </si>
  <si>
    <t>Total additions</t>
  </si>
  <si>
    <t>Depreciation</t>
  </si>
  <si>
    <t>Disposals, impairment and FX</t>
  </si>
  <si>
    <t>Closing PP&amp;E</t>
  </si>
  <si>
    <t>years</t>
  </si>
  <si>
    <t xml:space="preserve">  INTANGIBLE AMORTISATION</t>
  </si>
  <si>
    <t>Amortisation of intangibles</t>
  </si>
  <si>
    <t>FY26 actual per presentation p.10 (intangibles fell $15.3m: $14.3m FX plus $3.7m amortisation, offset by $2.2m of franchise rights). Grown 5% a year. A full roll-forward needs Note G6.</t>
  </si>
  <si>
    <t xml:space="preserve">  OUTPUTS AND DIAGNOSTICS</t>
  </si>
  <si>
    <t>Total D&amp;A excluding right-of-use  →  Model</t>
  </si>
  <si>
    <t>Capex / depreciation</t>
  </si>
  <si>
    <t>Maintenance capex as % of total capex</t>
  </si>
  <si>
    <t>Growth capex (new restaurants + projects)</t>
  </si>
  <si>
    <t>Tax is charged on EBIT</t>
  </si>
  <si>
    <t>FY32E</t>
  </si>
  <si>
    <t>FY33E</t>
  </si>
  <si>
    <t>FY34E</t>
  </si>
  <si>
    <t>FY35E</t>
  </si>
  <si>
    <t>Depreciation is built as a vintage waterfall: each year's capex is split by asset class and depreciated over the useful lives disclosed in Note G5 of the FY26 Annual Report.</t>
  </si>
  <si>
    <t xml:space="preserve">  ASSET LIVES — PER NOTE G5, FY26 ANNUAL REPORT</t>
  </si>
  <si>
    <t>Leasehold improvements — useful life</t>
  </si>
  <si>
    <t>FY26 Annual Report, Note G5 Property, plant and equipment. All classes are straight line. Note G5 specifies '20 years or term of the lease' for building leasehold improvements and 'primary term of lease' for other leasehold improvements. 15 years is used as the effective life because most QSR primary lease terms run 10-15 years, below the 20-year cap. Change this cell if you can source the actual weighted average lease term from Note G8.</t>
  </si>
  <si>
    <t>Plant and equipment — useful life</t>
  </si>
  <si>
    <t>FY26 Annual Report, Note G5 Property, plant and equipment. All classes are straight line. Disclosed as 8 years.</t>
  </si>
  <si>
    <t>Motor vehicles — useful life (memo)</t>
  </si>
  <si>
    <t>FY26 Annual Report, Note G5 Property, plant and equipment. All classes are straight line. Disclosed as 4 years. Immaterial for a restaurant operator, so not modelled as a separate class.</t>
  </si>
  <si>
    <t>Capex mix — leasehold improvements</t>
  </si>
  <si>
    <t>ASSUMPTION, not disclosed. Note G5 gives the lives but not how capex splits between classes. A KFC build is weighted toward fitout, drive-thru works and shopfront (leasehold improvements) over kitchen equipment (plant and equipment). 55/45 assumed.</t>
  </si>
  <si>
    <t>Capex mix — plant and equipment</t>
  </si>
  <si>
    <t>Blended annual depreciation rate on new capex</t>
  </si>
  <si>
    <t>Straight-line rate applied to GROSS cost of each vintage — the correct denominator, unlike a rate struck on net book value.</t>
  </si>
  <si>
    <t>Implied blended useful life of new capex</t>
  </si>
  <si>
    <t>Half-year convention in year of addition</t>
  </si>
  <si>
    <t>0 / 1</t>
  </si>
  <si>
    <t>1 charges half a year of depreciation in the year an asset is bought, which is the standard simplification for assets acquired evenly through the year. Set to 0 for a full year.</t>
  </si>
  <si>
    <t xml:space="preserve">  CAPITAL EXPENDITURE BY CATEGORY</t>
  </si>
  <si>
    <t>New restaurants</t>
  </si>
  <si>
    <t>Maintenance and remodels</t>
  </si>
  <si>
    <t>Project capex (Kwench)</t>
  </si>
  <si>
    <t>PP&amp;E acquired with the Munich business</t>
  </si>
  <si>
    <t>ESTIMATE — the PP&amp;E slice of the $50.6m consideration, not the whole price. The rest is goodwill, franchise rights and leases. CKF's own purchase price allocation is provisional until HY27. Acquired assets are fair-valued on acquisition so they are depreciated as a fresh vintage.</t>
  </si>
  <si>
    <t xml:space="preserve">  DEPRECIATION WATERFALL</t>
  </si>
  <si>
    <t>Each vintage of capex is depreciated over its own life. The legacy pool runs off separately, because those assets are already part-way through theirs.</t>
  </si>
  <si>
    <t>Legacy pool — opening net book value</t>
  </si>
  <si>
    <t>Legacy pool — run-off rate</t>
  </si>
  <si>
    <t>FY26 depreciation divided by FY26 closing net book value. Applied on a declining balance, which models a pool of mixed vintages running off smoothly rather than every legacy asset expiring on the same day. That avoids an artificial cliff in the terminal year.</t>
  </si>
  <si>
    <t>Legacy pool — depreciation</t>
  </si>
  <si>
    <t>Legacy pool — closing net book value</t>
  </si>
  <si>
    <t>FY27E capex vintage — depreciation</t>
  </si>
  <si>
    <t>FY28E capex vintage — depreciation</t>
  </si>
  <si>
    <t>FY29E capex vintage — depreciation</t>
  </si>
  <si>
    <t>FY30E capex vintage — depreciation</t>
  </si>
  <si>
    <t>FY31E capex vintage — depreciation</t>
  </si>
  <si>
    <t>FY32E capex vintage — depreciation</t>
  </si>
  <si>
    <t>FY33E capex vintage — depreciation</t>
  </si>
  <si>
    <t>FY34E capex vintage — depreciation</t>
  </si>
  <si>
    <t>FY35E capex vintage — depreciation</t>
  </si>
  <si>
    <t>Total depreciation</t>
  </si>
  <si>
    <t>FY26 is derived from reported figures: total D&amp;A less right-of-use depreciation less intangible amortisation. Forecast years are the legacy run-off plus each vintage.</t>
  </si>
  <si>
    <t>FY25 closing PP&amp;E, FY26 presentation p.10 balance sheet</t>
  </si>
  <si>
    <t>Additions</t>
  </si>
  <si>
    <t>FY26 is the balancing figure (net impairments of $6.5m, the land parcel sale and FX). Forecast at zero because impairments are non-trading by definition — state that rather than letting it look like an oversight.</t>
  </si>
  <si>
    <t>FY26 closing PP&amp;E per presentation p.10, hardcoded so the disposals line solves as the balancer</t>
  </si>
  <si>
    <t>Feeds straight into the Model sheet</t>
  </si>
  <si>
    <t>Above 1.0x means the asset base is growing. Note this rises sharply once depreciation is built properly — the old NBV-rate method flattered it by over-depreciating.</t>
  </si>
  <si>
    <t>Strip growth capex out and you get the cash the business would throw off if it stopped expanding — the number an acquirer starts from.</t>
  </si>
  <si>
    <t>Depreciation as % of revenue</t>
  </si>
  <si>
    <t>A useful reasonableness test: depreciation should trend toward capex intensity over time as the asset base matures. If it does not, a life assumption is wrong.</t>
  </si>
  <si>
    <t>DEBT, LEASES AND COVENANT CAPACITY</t>
  </si>
  <si>
    <t xml:space="preserve">  FINANCING ASSUMPTIONS</t>
  </si>
  <si>
    <t>Interest rate on drawn debt</t>
  </si>
  <si>
    <t>Interest rate earned on cash</t>
  </si>
  <si>
    <t>Assumption — Australian at-call deposit rates.</t>
  </si>
  <si>
    <t>Dividend payout ratio</t>
  </si>
  <si>
    <t>FY26 actual: 28.0 cents declared against underlying EPS of 52.0 cents.</t>
  </si>
  <si>
    <t>Minimum operating cash balance</t>
  </si>
  <si>
    <t>Assumption. CKF held $93.9m at FY26; a QSR needs far less than that as float.</t>
  </si>
  <si>
    <t>Covenant: maximum net leverage</t>
  </si>
  <si>
    <t xml:space="preserve">  GROSS DEBT SCHEDULE</t>
  </si>
  <si>
    <t>Opening gross debt</t>
  </si>
  <si>
    <t>Drawdown to fund acquisitions</t>
  </si>
  <si>
    <t>The Munich acquisition was 'funded from existing finance facilities' per the Annual Report, so it draws debt rather than consuming cash.</t>
  </si>
  <si>
    <t>Repayment from surplus cash flow</t>
  </si>
  <si>
    <t>Cash sweep: any cash above the minimum operating balance repays debt, capped at the amount outstanding. This is a policy assumption, not a contractual one.</t>
  </si>
  <si>
    <t>Closing gross debt</t>
  </si>
  <si>
    <t xml:space="preserve">  CASH FLOW WATERFALL</t>
  </si>
  <si>
    <t>Opening cash</t>
  </si>
  <si>
    <t>Unlevered free cash flow (FCFF)</t>
  </si>
  <si>
    <t>Already net of capex, working capital and the acquisition</t>
  </si>
  <si>
    <t>Less: interest on debt</t>
  </si>
  <si>
    <t>Charged on the OPENING balance, deliberately. Using the average balance would make interest depend on the repayment, which depends on cash flow, which depends on interest — a circular reference. Banks resolve that with iterative calculation; a template that has to survive being emailed around should not rely on it.</t>
  </si>
  <si>
    <t>Add: interest earned on cash</t>
  </si>
  <si>
    <t>Add: tax shield on net interest</t>
  </si>
  <si>
    <t>FCFF was struck after tax on the FULL EBIT, so the tax saved on interest has to be handed back here. This is the other side of the rule that the tax shield belongs in the WACC, not in FCFF.</t>
  </si>
  <si>
    <t>Memo: NPAT</t>
  </si>
  <si>
    <t>Less: dividends paid</t>
  </si>
  <si>
    <t>Cash before debt movements</t>
  </si>
  <si>
    <t>The FY26A column anchors opening and closing balances to reported figures; it is NOT a full cash reconciliation of the actual year, because the modelled FCFF differs from reported operating cash flow on working capital timing. The waterfall operates from FY27 onward.</t>
  </si>
  <si>
    <t>Closing cash</t>
  </si>
  <si>
    <t xml:space="preserve">  NET DEBT AND COVENANT HEADROOM</t>
  </si>
  <si>
    <t>Closing net debt (excluding leases)</t>
  </si>
  <si>
    <t>EBITDA (pre-AASB 16, covenant basis)</t>
  </si>
  <si>
    <t>Net leverage ratio</t>
  </si>
  <si>
    <t>Covenant headroom</t>
  </si>
  <si>
    <t>Additional debt capacity at the covenant limit</t>
  </si>
  <si>
    <t>The number an acquirer or a board asks for first: how much more could this balance sheet borrow before it breaches? It also frames whether CKF could fund further German bolt-ons without equity.</t>
  </si>
  <si>
    <t>Interest cover (EBITDA / net interest)</t>
  </si>
  <si>
    <t xml:space="preserve">  LEASE LIABILITY ROLL-FORWARD (memo)</t>
  </si>
  <si>
    <t>Opening lease liability</t>
  </si>
  <si>
    <t>New and renewed leases</t>
  </si>
  <si>
    <t>Signing a lease is a financing event, not a cash outflow — an asset and a liability appear together. That is exactly why leased restaurants look free in a post-AASB 16 cash flow.</t>
  </si>
  <si>
    <t>Principal repayments</t>
  </si>
  <si>
    <t>Closing lease liability</t>
  </si>
  <si>
    <t>Lease-adjusted leverage ((net debt + leases) / post-AASB 16 EBITDA)</t>
  </si>
  <si>
    <t>The covenant says 0.77x. Capitalise the leases and the same company is around 3x. Neither number is wrong — they answer different questions. Knowing both, and knowing why they differ, is the point.</t>
  </si>
  <si>
    <t>WEIGHTED AVERAGE COST OF CAPITAL</t>
  </si>
  <si>
    <t>Two WACCs are computed. The capital structure MUST match the cash flow definition: leases are debt only when rent has been added back to EBITDA.</t>
  </si>
  <si>
    <t xml:space="preserve">  MARKET INPUTS</t>
  </si>
  <si>
    <t>Risk free rate</t>
  </si>
  <si>
    <t>Market risk premium</t>
  </si>
  <si>
    <t>Corporate tax rate</t>
  </si>
  <si>
    <t>Australian statutory rate. FY26 underlying effective rate was 29.9%.</t>
  </si>
  <si>
    <t xml:space="preserve">  BETA — UNLEVER THE COMPARABLES, THEN RELEVER FOR CKF</t>
  </si>
  <si>
    <t>Comparable company</t>
  </si>
  <si>
    <t>Equity beta</t>
  </si>
  <si>
    <t>Net debt / equity</t>
  </si>
  <si>
    <t>Tax rate</t>
  </si>
  <si>
    <t>Unlevered beta</t>
  </si>
  <si>
    <t>Domino's Pizza Enterprises (ASX:DMP)</t>
  </si>
  <si>
    <t>Guzman y Gomez (ASX:GYG)</t>
  </si>
  <si>
    <t>Arcos Dorados (NYSE:ARCO)</t>
  </si>
  <si>
    <t>Yum! Brands (NYSE:YUM)</t>
  </si>
  <si>
    <t>Yum China (NYSE:YUMC)</t>
  </si>
  <si>
    <t>Median unlevered beta of the comparables</t>
  </si>
  <si>
    <t>Selected unlevered (asset) beta</t>
  </si>
  <si>
    <t xml:space="preserve">  CAPITAL STRUCTURE AT MARKET VALUE</t>
  </si>
  <si>
    <t>Share price (A$)</t>
  </si>
  <si>
    <t>Closing price early August 2026. Update to your valuation date.</t>
  </si>
  <si>
    <t>Derived: underlying NPAT divided by reported basic EPS. Cross-check against the share count in the Annual Report — this gives the weighted average, not the closing count.</t>
  </si>
  <si>
    <t>Market capitalisation (A$m)</t>
  </si>
  <si>
    <t>Net debt excluding leases (A$m)</t>
  </si>
  <si>
    <t>Lease liabilities (A$m)</t>
  </si>
  <si>
    <t>Debt used in the WACC</t>
  </si>
  <si>
    <t>Lease liabilities are deliberately EXCLUDED, because the cash flows still carry rent as an operating cost. Including them here while also expensing rent would penalise the same obligation twice.</t>
  </si>
  <si>
    <t>Debt / (debt + equity)</t>
  </si>
  <si>
    <t>Debt / equity</t>
  </si>
  <si>
    <t xml:space="preserve">  COST OF EQUITY</t>
  </si>
  <si>
    <t>Relevered equity beta</t>
  </si>
  <si>
    <t>Hamada relevering. Note the beta is materially higher on a post-AASB 16 basis — capitalising leases makes the equity look more levered, which is economically correct.</t>
  </si>
  <si>
    <t>Cost of equity</t>
  </si>
  <si>
    <t>CAPM: risk free rate plus beta times market risk premium.</t>
  </si>
  <si>
    <t xml:space="preserve">  COST OF DEBT</t>
  </si>
  <si>
    <t>Cost of corporate debt (pre-tax)</t>
  </si>
  <si>
    <t>Approximately BBSW plus a corporate margin. CKF refinanced during FY26; the facility margin is in the Annual Report debt note — replace this placeholder with the actual margin.</t>
  </si>
  <si>
    <t>Cost of lease debt (pre-tax)</t>
  </si>
  <si>
    <t>The incremental borrowing rate implied by CKF's own lease accounting — lease interest over the average lease liability.</t>
  </si>
  <si>
    <t>Pre-tax cost of debt used</t>
  </si>
  <si>
    <t>After-tax cost of debt</t>
  </si>
  <si>
    <t xml:space="preserve">  WACC</t>
  </si>
  <si>
    <t>WACC</t>
  </si>
  <si>
    <t>MEMO: WHAT A LEASE-ADJUSTED CAPITAL STRUCTURE WOULD LOOK LIKE</t>
  </si>
  <si>
    <t>Gearing including lease liabilities</t>
  </si>
  <si>
    <t>Relevered beta on that basis</t>
  </si>
  <si>
    <t>Lease-adjusted net leverage (net debt + leases / post-AASB 16 EBITDA)</t>
  </si>
  <si>
    <t>CKF reports net leverage of 0.77x on a pre-AASB 16 covenant basis. Capitalising leases tells a very different story about how levered this business really is — worth raising yourself.</t>
  </si>
  <si>
    <t>A caveat worth knowing:</t>
  </si>
  <si>
    <t>The comparables' observed equity betas already embed their own lease obligations, so unlevering them on financial debt alone is a simplification. Raise it before someone raises it for you.</t>
  </si>
  <si>
    <t>NOT DISCLOSED in the material I could access. 3.0x is typical for an Australian corporate syndicated facility.</t>
  </si>
  <si>
    <t>Consistent with the cost of debt on the WACC sheet.</t>
  </si>
  <si>
    <t xml:space="preserve">FY26A reads 0.74x against the 0.77x CKF reports on p.10 — and the gap is instructive rather than an error. Solving back, the covenant EBITDA is about $155m, which is continuing-operations EBITDA of $160.8m LESS the $5.6m pre-AASB 16 Taco Bell loss. In other words the covenant is struck on total group earnings including discontinued operations, while this row uses continuing operations. </t>
  </si>
  <si>
    <t>Not used in the valuation — here to helo answer the question</t>
  </si>
  <si>
    <t>DISCOUNTED CASH FLOW</t>
  </si>
  <si>
    <t>Valued as at the FY26 balance date of 3 May 2026. The stub period to the 8 August 2026 valuation date is not rolled forward — a documented simplification.</t>
  </si>
  <si>
    <t>Note</t>
  </si>
  <si>
    <t xml:space="preserve">  DISCOUNTING</t>
  </si>
  <si>
    <t>Period number</t>
  </si>
  <si>
    <t>Discount period</t>
  </si>
  <si>
    <t>Mid-year convention assumes cash arrives evenly through the year rather than all on the last day. It lifts the explicit-period cash flows by about 4%, but the terminal value is discounted at the full final period either way — so the effect on total value is much smaller than people expect.</t>
  </si>
  <si>
    <t>WACC (active basis)</t>
  </si>
  <si>
    <t>Discount factor</t>
  </si>
  <si>
    <t>FCFF (active basis)</t>
  </si>
  <si>
    <t>Present value of FCFF</t>
  </si>
  <si>
    <t>Sum of present values, FY27E to FY35E</t>
  </si>
  <si>
    <t xml:space="preserve">  TERMINAL YEAR NORMALISATION</t>
  </si>
  <si>
    <t>FY31E is still a heavy investment year. Capitalising it unadjusted assumes CKF opens 24 restaurants a year forever while growing revenue at 2.5% — which cannot both be true.</t>
  </si>
  <si>
    <t>FY35E revenue growth as forecast</t>
  </si>
  <si>
    <t>Compare with the terminal growth rate above. The gap is the problem this block fixes.</t>
  </si>
  <si>
    <t>FY35E FCFF as forecast</t>
  </si>
  <si>
    <t>Add back: FY35E capex as forecast</t>
  </si>
  <si>
    <t>Added back because it is already deducted inside FCFF above; the normalised figure is then charged in its place.</t>
  </si>
  <si>
    <t>FY35E depreciation and amortisation</t>
  </si>
  <si>
    <t>Terminal capex / depreciation ratio</t>
  </si>
  <si>
    <t>1.0x is the textbook steady-state relationship. Consider 1.1-1.2x here: CKF's asset base is young after five years of heavy building, so reported depreciation still understates the replacement spending a mature estate would need. Each 0.1x is worth roughly $1 per share.</t>
  </si>
  <si>
    <t>Less: normalised steady-state capex</t>
  </si>
  <si>
    <t>In a steady state growing at g, capex must approximate depreciation grown at g — otherwise the asset base compounds away from revenue forever. As forecast, FY31 capex is about 1.7x depreciation, which is a growth-phase ratio, not a perpetuity one.</t>
  </si>
  <si>
    <t>FY35E working capital release as forecast</t>
  </si>
  <si>
    <t>Normalised working capital release at terminal growth</t>
  </si>
  <si>
    <t>Working capital is negative, so growth releases cash — but only in proportion to growth. At 2.5% the release is far smaller than in an 8% growth year.</t>
  </si>
  <si>
    <t>Normalised terminal FCFF</t>
  </si>
  <si>
    <t>Terminal FCFF used</t>
  </si>
  <si>
    <t>Switch 5 on Control. Normalised is the defensible default; 'as forecast' is provided so you can see how much the choice is worth.</t>
  </si>
  <si>
    <t xml:space="preserve">  TERMINAL VALUE</t>
  </si>
  <si>
    <t>Terminal value — Gordon growth</t>
  </si>
  <si>
    <t>Terminal year cash flow grown one year, divided by WACC less growth. Guarded so it returns zero rather than a negative value if growth ever exceeds WACC.</t>
  </si>
  <si>
    <t>Terminal year EBITDA (active basis)</t>
  </si>
  <si>
    <t>Exit EV/EBITDA multiple</t>
  </si>
  <si>
    <t>Terminal value — exit multiple</t>
  </si>
  <si>
    <t>Terminal value — selected method</t>
  </si>
  <si>
    <t>Terminal discount factor</t>
  </si>
  <si>
    <t>Discounted at the full final period, not the mid-year period, because terminal value represents value at the END of FY31.</t>
  </si>
  <si>
    <t>Present value of terminal value</t>
  </si>
  <si>
    <t>Cross-check: multiple implied by the Gordon terminal value</t>
  </si>
  <si>
    <t>If the Gordon method implies an exit multiple far from where comparables trade, one of the two inputs is wrong. This is the most useful sanity check in any DCF.</t>
  </si>
  <si>
    <t>Cross-check: growth implied by the exit multiple</t>
  </si>
  <si>
    <t>The reverse test: what perpetual growth rate would justify your exit multiple? If it exceeds nominal GDP growth, the multiple is too high.</t>
  </si>
  <si>
    <t xml:space="preserve">  ENTERPRISE VALUE AND EQUITY BRIDGE</t>
  </si>
  <si>
    <t>Enterprise value</t>
  </si>
  <si>
    <t>Less: net debt excluding leases</t>
  </si>
  <si>
    <t>Less: lease liabilities</t>
  </si>
  <si>
    <t>DELIBERATELY ZERO. The cash flows above still carry rent as an operating cost, so the lease obligation is already reflected. Deducting the $630.5m liability here as well would charge for the same leases twice. See the AASB 16 block below.</t>
  </si>
  <si>
    <t>Total net debt deducted</t>
  </si>
  <si>
    <t>Equity value</t>
  </si>
  <si>
    <t xml:space="preserve">  IMPLIED MULTIPLES AND DIAGNOSTICS</t>
  </si>
  <si>
    <t>Terminal value as % of enterprise value</t>
  </si>
  <si>
    <t>Above roughly 75% and the valuation is mostly an opinion about perpetuity rather than about the forecast. Typical for a stable, cash-generative business — but know the number before you are asked.</t>
  </si>
  <si>
    <t>Implied market capitalisation</t>
  </si>
  <si>
    <t xml:space="preserve">  AASB 16: WHY THIS MODEL VALUES BEFORE LEASE CAPITALISATION</t>
  </si>
  <si>
    <t>The single most likely technical question on this model. The arithmetic below is the answer.</t>
  </si>
  <si>
    <t>FY27E rent added back if valuing post-AASB 16</t>
  </si>
  <si>
    <t>After-tax value of that rent</t>
  </si>
  <si>
    <t>Capitalised in perpetuity at (WACC less growth)</t>
  </si>
  <si>
    <t>Reported lease liability available to offset it</t>
  </si>
  <si>
    <t>Unfunded gap</t>
  </si>
  <si>
    <t>THE POINT. Adding rent back to EBITDA creates value in perpetuity, but the balance sheet lease liability only covers committed lease terms — roughly a decade, not forever. Deducting the book liability therefore offsets only a fraction of what was added back, and a naive post-AASB 16 DCF overvalues the equity by the gap shown here. Fixing it properly requires capitalising the full perpetual lease obligation, not the accounting number. Valuing pre-AASB 16 sidesteps the problem entirely, and matches how CKF's own banking covenants measure leverage (0.77x at FY26).</t>
  </si>
  <si>
    <t>What you still need the post-AASB 16 numbers for:</t>
  </si>
  <si>
    <t>Comparing multiples against peers. Almost every screen and broker model now quotes EV/EBITDA on a post-AASB 16 basis. Both EBITDA measures are on the Model sheet — just never mix one company's pre-AASB 16 EBITDA with another's post-AASB 16 multiple.</t>
  </si>
  <si>
    <t>COLLINS FOODS LIMITED (ASX: CKF)</t>
  </si>
  <si>
    <t>Discounted Cash Flow Valuation — FY27E to FY35E</t>
  </si>
  <si>
    <t>Prepared by</t>
  </si>
  <si>
    <t>Prasad Lambor</t>
  </si>
  <si>
    <t>Valuation date</t>
  </si>
  <si>
    <t>8 August 2026</t>
  </si>
  <si>
    <t>Base year</t>
  </si>
  <si>
    <t>FY26A — 53 weeks ended 3 May 2026</t>
  </si>
  <si>
    <t>Currency</t>
  </si>
  <si>
    <t>Primary source</t>
  </si>
  <si>
    <t>CKF FY26 Results Presentation, released 30 June 2026</t>
  </si>
  <si>
    <t>PURPOSE</t>
  </si>
  <si>
    <t>An enterprise discounted cash flow of Collins Foods, built bottom-up from restaurant count and average unit volume for each of the three operating geographies. Designed to be interrogated: every assumption sits in a labelled cell with its source, and the two lease-accounting treatments are computed in parallel and reconciled.</t>
  </si>
  <si>
    <t>COLOUR CONVENTION</t>
  </si>
  <si>
    <t>Blue text</t>
  </si>
  <si>
    <t>Hardcoded input or scenario lever — this is what you change</t>
  </si>
  <si>
    <t>Black text</t>
  </si>
  <si>
    <t>Formula calculated on this sheet — do not overwrite</t>
  </si>
  <si>
    <t>Green text</t>
  </si>
  <si>
    <t>Link to another sheet in this workbook</t>
  </si>
  <si>
    <t>Yellow fill</t>
  </si>
  <si>
    <t>Key assumption or a cell needing your judgement or market data</t>
  </si>
  <si>
    <t>Red text</t>
  </si>
  <si>
    <t>Warning or a figure requiring verification</t>
  </si>
  <si>
    <t>SHEET INDEX</t>
  </si>
  <si>
    <t>Control</t>
  </si>
  <si>
    <t>Switches, valuation summary and integrity checks. Start here.</t>
  </si>
  <si>
    <t>Assumptions</t>
  </si>
  <si>
    <t>Every forecast driver, as three scenario blocks plus the live selected case.</t>
  </si>
  <si>
    <t>Historicals</t>
  </si>
  <si>
    <t>FY23A–FY26A reported actuals, with the source of every figure and the AASB 16 bridge.</t>
  </si>
  <si>
    <t>Model</t>
  </si>
  <si>
    <t>The engine: drivers to revenue to EBITDA to EBIT to NOPAT to free cash flow, on both lease bases.</t>
  </si>
  <si>
    <t>Cost of equity, cost of debt and capital structure — one WACC per lease basis.</t>
  </si>
  <si>
    <t>DCF</t>
  </si>
  <si>
    <t>Discounting, terminal value, enterprise value, equity bridge and the pre/post reconciliation.</t>
  </si>
  <si>
    <t>Sensitivity</t>
  </si>
  <si>
    <t>Live WACC versus growth and WACC versus exit multiple grids.</t>
  </si>
  <si>
    <t>Comps</t>
  </si>
  <si>
    <t>Trading comparables template and football field. Market data to be populated.</t>
  </si>
  <si>
    <t>Notes &amp; Audit</t>
  </si>
  <si>
    <t>Source mapping for every hardcoded number, and the reasoning behind each convention.</t>
  </si>
  <si>
    <t>IMPORTANT</t>
  </si>
  <si>
    <t>Educational and illustrative only. Not investment advice and not a professional valuation. Forecasts are the author's own and are not company guidance.</t>
  </si>
  <si>
    <t>6.0% is the figure most commonly adopted in Australian independent expert reports. It is an assumption.</t>
  </si>
  <si>
    <t>Australian 10-year Commonwealth Government bond yield, approximately 4.9% in early August 2026.</t>
  </si>
  <si>
    <t>TRADING COMPARABLES AND FOOTBALL FIELD</t>
  </si>
  <si>
    <t xml:space="preserve">  TRADING COMPARABLES</t>
  </si>
  <si>
    <t>Company</t>
  </si>
  <si>
    <t>Share price</t>
  </si>
  <si>
    <t>Shares (m)</t>
  </si>
  <si>
    <t>Market cap</t>
  </si>
  <si>
    <t>Net debt</t>
  </si>
  <si>
    <t>Notes</t>
  </si>
  <si>
    <t>Collins Foods (ASX:CKF)</t>
  </si>
  <si>
    <t>Collins Foods — post-AASB 16 basis</t>
  </si>
  <si>
    <t>The same company restated with leases as debt. Use THIS row if your peer multiples are quoted post-AASB 16, which most screens now are.</t>
  </si>
  <si>
    <t>EV / FY1 EBITDA</t>
  </si>
  <si>
    <t>Multiple by company</t>
  </si>
  <si>
    <t>Peer median</t>
  </si>
  <si>
    <t xml:space="preserve">  FOOTBALL FIELD — VALUE PER SHARE</t>
  </si>
  <si>
    <t>Methodology</t>
  </si>
  <si>
    <t>Low</t>
  </si>
  <si>
    <t>High</t>
  </si>
  <si>
    <t>Opposite corners of sensitivity grid 2</t>
  </si>
  <si>
    <t>Scenario range (downside to upside)</t>
  </si>
  <si>
    <t>Trading comparables (peer median ±1x)</t>
  </si>
  <si>
    <t>Calculates once the peer table above is populated</t>
  </si>
  <si>
    <t>Broker consensus price target</t>
  </si>
  <si>
    <t>52-week trading range</t>
  </si>
  <si>
    <t>Current share price</t>
  </si>
  <si>
    <t>To turn this into an actual football field chart: select the low and high columns, insert a stacked bar chart, set the 'low' series fill to No Fill, and add a vertical line at the current share price.</t>
  </si>
  <si>
    <t>Shares and Share price as of 11 Aug 2026</t>
  </si>
  <si>
    <t>Net debt is from FY25 as FY26 results are not out yet. Will be updated as and when available</t>
  </si>
  <si>
    <t>LTM / last reported FY EBITDA</t>
  </si>
  <si>
    <t>Shares and Share price as of 16 Aug 2026</t>
  </si>
  <si>
    <t xml:space="preserve">Using 0.80 here as it is close to asx listed dominos and GyG. Damodarans unlevered beta for restaurant in US is 0.77. </t>
  </si>
  <si>
    <t>Sensitivity Analysis</t>
  </si>
  <si>
    <t>GRID 1 - Value per share: WACC vs Terminal growth</t>
  </si>
  <si>
    <t>WACC / Growth</t>
  </si>
  <si>
    <t>WACC / Exit EV/EBITDA Multiple</t>
  </si>
  <si>
    <t>Opposite corners of sensitivity grid 1</t>
  </si>
  <si>
    <t xml:space="preserve">Recorded by setting the Control scenario switch to 3 and then 2 on the as-built assumptions. </t>
  </si>
  <si>
    <t xml:space="preserve">Reported 12-month consensus target of approximately $10.27 in early August 2026. </t>
  </si>
  <si>
    <t>DCF — Gordon growth (WACC ±1%, g 1.5–3.5%)</t>
  </si>
  <si>
    <t>DCF — exit multiple (6.5–8.5x, WACC ±1%)</t>
  </si>
  <si>
    <t>Trading comparables are not meaningful for CKF. Of the listed peers, Domino's, Yum! Brands and Yum China are franchisors — asset-light royalty models trading at 8.7x–17.3x — and Guzman y Gomez is a growth-stage operator on ~40x. The only directly comparable listed KFC franchisee, Restaurant Brands New Zealand, was acquired by Finaccess and delisted in December 2025. RBD's undisturbed trading multiple of approximately 8x is adopted here, with the 9.8x transaction multiple shown separately as a precedent transaction</t>
  </si>
  <si>
    <t xml:space="preserve">CKF on a PRE-AASB 16 basis, consistent with the DCF. </t>
  </si>
  <si>
    <t>Width</t>
  </si>
  <si>
    <t>From stockanalysis.com</t>
  </si>
  <si>
    <t>NOTES AND AUDIT TRAIL</t>
  </si>
  <si>
    <t>My working notes on this model. I wrote these as I built it, including the parts I got wrong first.</t>
  </si>
  <si>
    <t xml:space="preserve">  WHAT THIS MODEL IS</t>
  </si>
  <si>
    <t>Collins Foods Limited (ASX: CKF). It runs 295 KFC restaurants in Australia, 63 in the Netherlands and 17 in Germany.</t>
  </si>
  <si>
    <t>Method</t>
  </si>
  <si>
    <t>Discounted cash flow. I forecast free cash flow to the firm and discount it at the WACC.</t>
  </si>
  <si>
    <t>FY26, the 53 weeks to 3 May 2026.</t>
  </si>
  <si>
    <t>Forecast</t>
  </si>
  <si>
    <t>Nine years, FY27 to FY35.</t>
  </si>
  <si>
    <t>My answer</t>
  </si>
  <si>
    <t>$11.75 a share. The market price was $8.24 and broker consensus was $10.27.</t>
  </si>
  <si>
    <t xml:space="preserve">  WHERE MY NUMBERS COME FROM</t>
  </si>
  <si>
    <t>CKF FY26 Results Presentation</t>
  </si>
  <si>
    <t>CKF FY26 Annual Report</t>
  </si>
  <si>
    <t>I used this for three things the presentation does not give: the growth rate for each European country, the asset lives in Note G5, and the Munich purchase price.</t>
  </si>
  <si>
    <t>RBA Table F2</t>
  </si>
  <si>
    <t>Australian 10 year government bond yield. This is the official source and it is free.</t>
  </si>
  <si>
    <t>stockanalysis.com</t>
  </si>
  <si>
    <t>Share prices, share counts and betas for the peer companies.</t>
  </si>
  <si>
    <t>Damodaran, NYU Stern</t>
  </si>
  <si>
    <t>Restaurant sector unlevered beta, January 2026 update. Free and widely used.</t>
  </si>
  <si>
    <t xml:space="preserve">  HOW I BUILT IT</t>
  </si>
  <si>
    <t>Order of work</t>
  </si>
  <si>
    <t>1. Historicals with a source for every number.  2. The AASB 16 lease bridge.  3. The FY26 column of the Model.  4. Assumptions in three cases.  5. Forecast years.  6. Capex and debt schedules.  7. WACC, DCF and checks.</t>
  </si>
  <si>
    <t>Why this order</t>
  </si>
  <si>
    <t>I cannot forecast something I have not first reconciled. Building the assumptions before the engine would have meant rewiring everything later.</t>
  </si>
  <si>
    <t xml:space="preserve">  THE FY26 COLUMN — THE MOST IMPORTANT PART</t>
  </si>
  <si>
    <t>What it does</t>
  </si>
  <si>
    <t>Column E on the Model tab rebuilds FY26 using exactly the same formulas as the forecast years. The only difference is that it is fed by reported numbers.</t>
  </si>
  <si>
    <t>Why it matters</t>
  </si>
  <si>
    <t>It ties back to reported revenue and EBITDA with no difference. If it did not tie, the forecast would not be worth reading. It is easy to build a forecast that looks sensible and is quietly wrong, and this is the cheapest way to prove it is not.</t>
  </si>
  <si>
    <t xml:space="preserve">  LEASES, AND WHY I VALUE BEFORE AASB 16</t>
  </si>
  <si>
    <t>The problem</t>
  </si>
  <si>
    <t>CKF leases almost all of its 375 restaurants. Under AASB 16 the rent leaves EBITDA and comes back as depreciation and interest. FY26 EBITDA is $160.8m before AASB 16 and $244.5m after. Same business, $83.7m apart.</t>
  </si>
  <si>
    <t>The rule</t>
  </si>
  <si>
    <t>The debt in my WACC has to match how I treat rent. If rent is still a cost, leases are not debt. If I add rent back, leases are debt and I must deduct them.</t>
  </si>
  <si>
    <t>What I did</t>
  </si>
  <si>
    <t>I value before AASB 16. Rent stays as a cost and I do not deduct the lease liability.</t>
  </si>
  <si>
    <t>Why not the other way</t>
  </si>
  <si>
    <t>I tried it. Adding rent back creates value forever, but the lease liability on the balance sheet only covers leases already signed, roughly ten years. So the liability offsets only part of what I added back. The gap is about $400m, which is around 25% of the equity. That is why I stopped.</t>
  </si>
  <si>
    <t>A useful check</t>
  </si>
  <si>
    <t>CKF's own bank covenant is measured before AASB 16 as well, at 0.77 times. So my basis matches how the company is actually financed.</t>
  </si>
  <si>
    <t xml:space="preserve">  SPLITTING GERMANY FROM THE NETHERLANDS</t>
  </si>
  <si>
    <t>CKF reports Europe as one segment, so it does not give revenue by country.</t>
  </si>
  <si>
    <t>How I solved it</t>
  </si>
  <si>
    <t>The Annual Report says Netherlands revenue grew 11.6% and German sales grew 15.8%. With reported Europe revenue for both years, that is two equations and two unknowns.</t>
  </si>
  <si>
    <t>The answer</t>
  </si>
  <si>
    <t>Netherlands $274.8m and Germany $76.5m in FY26. Average unit volumes of $4.40m and $4.63m.</t>
  </si>
  <si>
    <t>Why I like this</t>
  </si>
  <si>
    <t>Because I worked out both countries separately, the fact that they add back to reported Europe revenue is a real check, not just arithmetic. It is one of the checks on the Control tab.</t>
  </si>
  <si>
    <t xml:space="preserve">  DEPRECIATION</t>
  </si>
  <si>
    <t>What I used</t>
  </si>
  <si>
    <t>Note G5 gives the lives: leasehold improvements are 20 years or the lease term, plant and equipment is 8 years, motor vehicles 4 years.</t>
  </si>
  <si>
    <t>My assumption</t>
  </si>
  <si>
    <t>I split capex 55% leasehold improvements and 45% plant and equipment, and used 15 years for leasehold improvements because most restaurant leases run 10 to 15 years. The split is my estimate. Note G5 gives the lives but not the mix.</t>
  </si>
  <si>
    <t>How it works</t>
  </si>
  <si>
    <t>Each year of capex is depreciated on its own line. The assets that existed at FY26 run off separately. FY26 depreciation ties back to the reported figure.</t>
  </si>
  <si>
    <t>A mistake I fixed</t>
  </si>
  <si>
    <t>My first version worked out a depreciation rate using net book value but applied it as if it were a rate on original cost. Those are different numbers. It made the assets look like they had 4.7 years of life when Note G5 says 8 years for equipment. Both figures are real but they measure different things: 4.7 years is what is left in the current balance, 8 years is the life of a new asset.</t>
  </si>
  <si>
    <t xml:space="preserve">  BETA</t>
  </si>
  <si>
    <t>An unlevered beta of 0.80.</t>
  </si>
  <si>
    <t>How I got there</t>
  </si>
  <si>
    <t>Domino's Pizza Enterprises gives 0.80. Guzman y Gomez gives 0.88. Damodaran's restaurant sector, from 64 companies, gives 0.77. Three different methods, all close together.</t>
  </si>
  <si>
    <t>Market not book</t>
  </si>
  <si>
    <t>I used market value of equity, not book value. Beta comes from share prices, so the gearing has to be measured the same way. Yum! Brands has negative book equity after years of buybacks, so book value would not work at all.</t>
  </si>
  <si>
    <t>Why not CKF's own beta</t>
  </si>
  <si>
    <t>Screeners show CKF at about 0.45. I did not use it. One company's beta is not reliable on its own, and the ASX 200 is mostly banks and miners, so a food business looks less connected to the index than it really is. A low beta here means low correlation, not low risk.</t>
  </si>
  <si>
    <t>What I rejected</t>
  </si>
  <si>
    <t>Damodaran's Australia and New Zealand restaurant figure was far lower. The sample is too small to trust, and Australian restaurants cannot really be half as risky as American ones.</t>
  </si>
  <si>
    <t xml:space="preserve">  WHY THERE ARE NO TRADING COMPARABLES</t>
  </si>
  <si>
    <t>The right comparison is gone</t>
  </si>
  <si>
    <t>The only true match was Restaurant Brands New Zealand, another KFC franchisee. Finaccess bought it at NZ$5.05 a share and it delisted in December 2025.</t>
  </si>
  <si>
    <t>The rest do not fit</t>
  </si>
  <si>
    <t>Domino's, Yum! Brands and Yum China are franchisors. They collect royalties and own very few assets, so the market pays them much higher multiples. Yum's depreciation is 2.7% of revenue against CKF at about 7%. Guzman y Gomez is a growth company trading near 40 times.</t>
  </si>
  <si>
    <t>What went wrong</t>
  </si>
  <si>
    <t>Using their median of about 14 times valued CKF above $20 a share. That is more than twice my DCF and the market price, so I removed it.</t>
  </si>
  <si>
    <t>What I show instead</t>
  </si>
  <si>
    <t>I leave the trading comparables line out and explain why. Saying which comparables do not work is more useful than showing a number I know is wrong.</t>
  </si>
  <si>
    <t xml:space="preserve">  WHAT I CHECKED</t>
  </si>
  <si>
    <t>Integrity checks</t>
  </si>
  <si>
    <t>There are 16 checks on the Control tab and they all pass.</t>
  </si>
  <si>
    <t>The main ones</t>
  </si>
  <si>
    <t>FY26 revenue and EBITDA rebuild to zero difference. The Europe split adds back to reported revenue. Depreciation ties to the reported figure. Debt and lease balances tie to the balance sheet. Cash never goes below the minimum and the covenant is never breached.</t>
  </si>
  <si>
    <t>Cross-check on terminal value</t>
  </si>
  <si>
    <t>My terminal value implies an exit multiple of 7.35 times. CKF trades near 7 times. If those two were far apart, one of my inputs would be wrong.</t>
  </si>
  <si>
    <t xml:space="preserve">  WHAT I DID NOT DO</t>
  </si>
  <si>
    <t>No three statement model</t>
  </si>
  <si>
    <t>I have a fixed asset schedule, a debt schedule and a lease schedule, but no balance sheet that balances. So there is no balance sheet check.</t>
  </si>
  <si>
    <t>No stub period</t>
  </si>
  <si>
    <t>I value at the balance date of 3 May 2026, not at today's date.</t>
  </si>
  <si>
    <t>No currency layer</t>
  </si>
  <si>
    <t>European earnings are modelled in Australian dollars, even though FY26 included a $16.0m gain from currency translation.</t>
  </si>
  <si>
    <t>Franchise renewal assumed</t>
  </si>
  <si>
    <t>The Netherlands franchise agreement runs to 31 December 2029, which is inside my forecast. I assume it is renewed.</t>
  </si>
  <si>
    <t>No value for future deals</t>
  </si>
  <si>
    <t>I only included the Munich acquisition because it has completed. I have not forecast any further acquisitions, so I have not deducted any money for them either.</t>
  </si>
  <si>
    <t xml:space="preserve">  THINGS I KNOW ARE STILL ROUGH</t>
  </si>
  <si>
    <t>Working capital</t>
  </si>
  <si>
    <t>I use minus 6% of revenue. It is negative because restaurants take cash immediately and pay suppliers later. I have not built it from the receivables and payables notes yet.</t>
  </si>
  <si>
    <t>Covenant limit</t>
  </si>
  <si>
    <t>I assume 3.0 times. It is not disclosed in anything I could find. It drives the debt capacity numbers, so it should be confirmed.</t>
  </si>
  <si>
    <t>Munich purchase price split</t>
  </si>
  <si>
    <t>I paid $50.6m in total. I assumed about 40% is plant and equipment. CKF's own allocation is not final until the HY27 accounts.</t>
  </si>
  <si>
    <t>The last four years</t>
  </si>
  <si>
    <t>FY32 to FY35 are my own extrapolation. CKF only plans five years ahead. A longer forecast means less weight on the terminal value but more of my own guesswork inside it.</t>
  </si>
  <si>
    <t xml:space="preserve">  QUESTIONS I EXPECT</t>
  </si>
  <si>
    <t>Why is terminal value 65% of the total?</t>
  </si>
  <si>
    <t>That is normal for a steady business. I checked it against the implied exit multiple of 7.35 times, which is close to where CKF trades. I also extended the forecast to nine years to bring this figure down from 85%.</t>
  </si>
  <si>
    <t>Why nine years and not five?</t>
  </si>
  <si>
    <t>At five years the business was still investing heavily. Capex was 1.7 times depreciation in FY31 and revenue was still growing 8%, so I could not apply a 2.5% growth rate to it. By FY35 capex and depreciation are almost equal, which is what a steady state looks like.</t>
  </si>
  <si>
    <t>Why tax EBIT and not profit before tax?</t>
  </si>
  <si>
    <t>Free cash flow to the firm is measured before financing. The tax saving on interest is already inside the WACC, so taking it here as well would count it twice.</t>
  </si>
  <si>
    <t>Why is your value 43% above the market?</t>
  </si>
  <si>
    <t>Most of it is the German rollout and the margin improvement in Europe. My downside case gives $7.08, which is close to the market price. So the market is pricing something near my downside.</t>
  </si>
  <si>
    <t>What would change your mind?</t>
  </si>
  <si>
    <t>A higher beta. At 0.95 my value falls to about $10.10. Beta is the input my answer is most sensitive to and it is the one I am least certain about.</t>
  </si>
  <si>
    <t xml:space="preserve">  FIXED IN THIS VERSION</t>
  </si>
  <si>
    <t>External links removed</t>
  </si>
  <si>
    <t>This file used to link to another workbook. 94 formulas read the scenario and discounting switches from that other file instead of this one, so those switches did nothing. I pointed them at the Control tab in this file and removed the link.</t>
  </si>
  <si>
    <t>Terminal basis switch</t>
  </si>
  <si>
    <t>The switch that chose between the normalised and unadjusted terminal year had been deleted from the Control tab, so its formula was broken. I set it to the normalised figure, which is what it was already calculating.</t>
  </si>
  <si>
    <t>Two stray cells cleared</t>
  </si>
  <si>
    <t>Historicals E6 and L6 were left over from earlier work. E6 referred to itself, which is a circular reference, and L6 depended on it. Neither was used anywhere else, so I cleared both. The file now calculates with no errors.</t>
  </si>
  <si>
    <t>This model is for learning and illustration. It is not investment advice and not a professional valuation. The forecasts are my own and are not company guidance.</t>
  </si>
  <si>
    <t>Released 30 June 2026. Most of my history comes from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</si>
</sst>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quot;$&quot;* #,##0.00_);_(&quot;$&quot;* \(#,##0.00\);_(&quot;$&quot;* &quot;-&quot;??_);_(@_)"/>
    <numFmt numFmtId="164" formatCode="\$#,##0.0;&quot;($&quot;#,##0.0\);\-"/>
    <numFmt numFmtId="165" formatCode="#,##0.0;\(#,##0.0\);\-"/>
    <numFmt numFmtId="166" formatCode="0.0%"/>
    <numFmt numFmtId="167" formatCode="#,##0;\(#,##0\);\-"/>
    <numFmt numFmtId="168" formatCode="0.0%;\(0.0%\);\-"/>
    <numFmt numFmtId="169" formatCode="0.00\x"/>
    <numFmt numFmtId="170" formatCode="0.00%;\(0.00%\);\-"/>
    <numFmt numFmtId="171" formatCode="\$#,##0;&quot;($&quot;#,##0\);\-"/>
    <numFmt numFmtId="172" formatCode="\$#,##0.00"/>
    <numFmt numFmtId="173" formatCode="#,##0.0"/>
    <numFmt numFmtId="174" formatCode="0.0"/>
    <numFmt numFmtId="175" formatCode="0.000"/>
  </numFmts>
  <fonts count="46" x14ac:knownFonts="1">
    <font>
      <sz val="12"/>
      <color theme="1"/>
      <name val="Aptos Narrow"/>
      <family val="2"/>
      <scheme val="minor"/>
    </font>
    <font>
      <b/>
      <sz val="15"/>
      <color theme="3"/>
      <name val="Aptos Narrow"/>
      <family val="2"/>
      <scheme val="minor"/>
    </font>
    <font>
      <sz val="12"/>
      <color theme="1"/>
      <name val="Aptos Narrow"/>
      <family val="2"/>
      <scheme val="minor"/>
    </font>
    <font>
      <sz val="12"/>
      <color theme="1"/>
      <name val="Helvetica"/>
      <family val="2"/>
    </font>
    <font>
      <sz val="10"/>
      <color rgb="FF0000FF"/>
      <name val="Arial"/>
      <family val="2"/>
    </font>
    <font>
      <b/>
      <sz val="10"/>
      <color rgb="FF000000"/>
      <name val="Arial"/>
      <family val="2"/>
    </font>
    <font>
      <sz val="10"/>
      <color rgb="FF000000"/>
      <name val="Arial"/>
      <family val="2"/>
    </font>
    <font>
      <sz val="9"/>
      <color rgb="FF000000"/>
      <name val="Arial"/>
      <family val="2"/>
    </font>
    <font>
      <i/>
      <sz val="9"/>
      <color rgb="FF000000"/>
      <name val="Arial"/>
      <family val="2"/>
    </font>
    <font>
      <b/>
      <sz val="11"/>
      <color rgb="FFFFFFFF"/>
      <name val="Arial"/>
      <family val="2"/>
    </font>
    <font>
      <i/>
      <sz val="10"/>
      <color rgb="FF000000"/>
      <name val="Arial"/>
      <family val="2"/>
    </font>
    <font>
      <b/>
      <sz val="10"/>
      <color rgb="FF0000FF"/>
      <name val="Arial"/>
      <family val="2"/>
    </font>
    <font>
      <sz val="10"/>
      <color rgb="FF008000"/>
      <name val="Arial"/>
      <family val="2"/>
    </font>
    <font>
      <b/>
      <sz val="10"/>
      <color rgb="FF008000"/>
      <name val="Arial"/>
      <family val="2"/>
    </font>
    <font>
      <b/>
      <sz val="10"/>
      <color rgb="FFFF0000"/>
      <name val="Arial"/>
      <family val="2"/>
    </font>
    <font>
      <b/>
      <sz val="16"/>
      <color theme="3"/>
      <name val="Arial"/>
      <family val="2"/>
    </font>
    <font>
      <sz val="12"/>
      <color theme="1"/>
      <name val="Arial"/>
      <family val="2"/>
    </font>
    <font>
      <b/>
      <sz val="12"/>
      <color theme="0"/>
      <name val="Arial"/>
      <family val="2"/>
    </font>
    <font>
      <sz val="12"/>
      <color theme="0"/>
      <name val="Arial"/>
      <family val="2"/>
    </font>
    <font>
      <sz val="12"/>
      <color rgb="FF00B0F0"/>
      <name val="Arial"/>
      <family val="2"/>
    </font>
    <font>
      <i/>
      <sz val="10"/>
      <color theme="1"/>
      <name val="Arial"/>
      <family val="2"/>
    </font>
    <font>
      <b/>
      <sz val="12"/>
      <color theme="1"/>
      <name val="Arial"/>
      <family val="2"/>
    </font>
    <font>
      <sz val="10"/>
      <color theme="1"/>
      <name val="Arial"/>
      <family val="2"/>
    </font>
    <font>
      <i/>
      <sz val="9"/>
      <color theme="1"/>
      <name val="Arial"/>
      <family val="2"/>
    </font>
    <font>
      <sz val="9"/>
      <color theme="1"/>
      <name val="Arial"/>
      <family val="2"/>
    </font>
    <font>
      <sz val="9"/>
      <color theme="0"/>
      <name val="Arial"/>
      <family val="2"/>
    </font>
    <font>
      <sz val="9"/>
      <color theme="1"/>
      <name val="Aptos Narrow"/>
      <family val="2"/>
      <scheme val="minor"/>
    </font>
    <font>
      <b/>
      <sz val="10"/>
      <color theme="1"/>
      <name val="Arial"/>
      <family val="2"/>
    </font>
    <font>
      <b/>
      <sz val="10"/>
      <color theme="0"/>
      <name val="Arial"/>
      <family val="2"/>
    </font>
    <font>
      <b/>
      <sz val="13"/>
      <color theme="3"/>
      <name val="Aptos Narrow"/>
      <family val="2"/>
      <scheme val="minor"/>
    </font>
    <font>
      <sz val="12"/>
      <color theme="0"/>
      <name val="Aptos Narrow"/>
      <family val="2"/>
      <scheme val="minor"/>
    </font>
    <font>
      <b/>
      <sz val="11"/>
      <color rgb="FF000000"/>
      <name val="Arial"/>
      <family val="2"/>
    </font>
    <font>
      <b/>
      <sz val="9"/>
      <color rgb="FF000000"/>
      <name val="Arial"/>
      <family val="2"/>
    </font>
    <font>
      <b/>
      <i/>
      <sz val="9"/>
      <color rgb="FF000000"/>
      <name val="Arial"/>
      <family val="2"/>
    </font>
    <font>
      <b/>
      <sz val="12"/>
      <color rgb="FF000000"/>
      <name val="Arial"/>
      <family val="2"/>
    </font>
    <font>
      <sz val="11"/>
      <color theme="1"/>
      <name val="Calibri"/>
      <family val="2"/>
      <charset val="1"/>
    </font>
    <font>
      <b/>
      <sz val="20"/>
      <color rgb="FF000000"/>
      <name val="Arial"/>
      <family val="2"/>
    </font>
    <font>
      <i/>
      <sz val="13"/>
      <color rgb="FF000000"/>
      <name val="Arial"/>
      <family val="2"/>
    </font>
    <font>
      <sz val="10"/>
      <color rgb="FFFF0000"/>
      <name val="Arial"/>
      <family val="2"/>
    </font>
    <font>
      <i/>
      <sz val="9"/>
      <color rgb="FFFF0000"/>
      <name val="Arial"/>
      <family val="2"/>
    </font>
    <font>
      <b/>
      <sz val="12"/>
      <color theme="1"/>
      <name val="Aptos Narrow"/>
      <scheme val="minor"/>
    </font>
    <font>
      <sz val="12"/>
      <color theme="1"/>
      <name val="Aptos Narrow"/>
      <family val="2"/>
      <charset val="1"/>
    </font>
    <font>
      <b/>
      <sz val="16"/>
      <name val="Arial"/>
      <family val="2"/>
    </font>
    <font>
      <i/>
      <sz val="10"/>
      <name val="Arial"/>
      <family val="2"/>
    </font>
    <font>
      <b/>
      <sz val="10"/>
      <name val="Arial"/>
      <family val="2"/>
    </font>
    <font>
      <sz val="10"/>
      <name val="Arial"/>
      <family val="2"/>
    </font>
  </fonts>
  <fills count="11">
    <fill>
      <patternFill patternType="none"/>
    </fill>
    <fill>
      <patternFill patternType="gray125"/>
    </fill>
    <fill>
      <patternFill patternType="solid">
        <fgColor theme="3"/>
        <bgColor indexed="64"/>
      </patternFill>
    </fill>
    <fill>
      <patternFill patternType="solid">
        <fgColor rgb="FFD9E2F3"/>
        <bgColor rgb="FFE2EFDA"/>
      </patternFill>
    </fill>
    <fill>
      <patternFill patternType="solid">
        <fgColor rgb="FF1F3864"/>
        <bgColor rgb="FF333333"/>
      </patternFill>
    </fill>
    <fill>
      <patternFill patternType="solid">
        <fgColor rgb="FFF2F2F2"/>
        <bgColor rgb="FFE2EFDA"/>
      </patternFill>
    </fill>
    <fill>
      <patternFill patternType="solid">
        <fgColor rgb="FFFFFF00"/>
        <bgColor rgb="FFFFFF00"/>
      </patternFill>
    </fill>
    <fill>
      <patternFill patternType="solid">
        <fgColor rgb="FFE2EFDA"/>
        <bgColor rgb="FFF2F2F2"/>
      </patternFill>
    </fill>
    <fill>
      <patternFill patternType="solid">
        <fgColor rgb="FFD9E2F3"/>
        <bgColor indexed="64"/>
      </patternFill>
    </fill>
    <fill>
      <patternFill patternType="solid">
        <fgColor rgb="FFFFFF00"/>
        <bgColor indexed="64"/>
      </patternFill>
    </fill>
    <fill>
      <patternFill patternType="solid">
        <fgColor rgb="FF1F3864"/>
        <bgColor rgb="FF0E2841"/>
      </patternFill>
    </fill>
  </fills>
  <borders count="7">
    <border>
      <left/>
      <right/>
      <top/>
      <bottom/>
      <diagonal/>
    </border>
    <border>
      <left/>
      <right/>
      <top/>
      <bottom style="thick">
        <color theme="4"/>
      </bottom>
      <diagonal/>
    </border>
    <border>
      <left/>
      <right/>
      <top style="thin">
        <color indexed="64"/>
      </top>
      <bottom/>
      <diagonal/>
    </border>
    <border>
      <left style="thin">
        <color rgb="FFBFBFBF"/>
      </left>
      <right style="thin">
        <color rgb="FFBFBFBF"/>
      </right>
      <top style="thin">
        <color rgb="FFBFBFBF"/>
      </top>
      <bottom style="thin">
        <color rgb="FFBFBFBF"/>
      </bottom>
      <diagonal/>
    </border>
    <border>
      <left/>
      <right/>
      <top/>
      <bottom style="thick">
        <color theme="4" tint="0.499984740745262"/>
      </bottom>
      <diagonal/>
    </border>
    <border>
      <left/>
      <right/>
      <top/>
      <bottom style="thin">
        <color indexed="64"/>
      </bottom>
      <diagonal/>
    </border>
    <border>
      <left/>
      <right/>
      <top style="thin">
        <color indexed="64"/>
      </top>
      <bottom style="double">
        <color indexed="64"/>
      </bottom>
      <diagonal/>
    </border>
  </borders>
  <cellStyleXfs count="6">
    <xf numFmtId="0" fontId="0" fillId="0" borderId="0"/>
    <xf numFmtId="0" fontId="1" fillId="0" borderId="1" applyNumberFormat="0" applyFill="0" applyAlignment="0" applyProtection="0"/>
    <xf numFmtId="9" fontId="2" fillId="0" borderId="0" applyFont="0" applyFill="0" applyBorder="0" applyAlignment="0" applyProtection="0"/>
    <xf numFmtId="0" fontId="29" fillId="0" borderId="4" applyNumberFormat="0" applyFill="0" applyAlignment="0" applyProtection="0"/>
    <xf numFmtId="0" fontId="35" fillId="0" borderId="0"/>
    <xf numFmtId="0" fontId="41" fillId="0" borderId="0"/>
  </cellStyleXfs>
  <cellXfs count="167">
    <xf numFmtId="0" fontId="0" fillId="0" borderId="0" xfId="0"/>
    <xf numFmtId="0" fontId="3" fillId="0" borderId="0" xfId="0" applyFont="1"/>
    <xf numFmtId="164" fontId="4" fillId="0" borderId="0" xfId="0" applyNumberFormat="1" applyFont="1" applyAlignment="1">
      <alignment horizontal="center" vertical="center"/>
    </xf>
    <xf numFmtId="165" fontId="4" fillId="0" borderId="0" xfId="0" applyNumberFormat="1" applyFont="1" applyAlignment="1">
      <alignment horizontal="center" vertical="center"/>
    </xf>
    <xf numFmtId="166" fontId="4" fillId="0" borderId="0" xfId="2" applyNumberFormat="1" applyFont="1" applyAlignment="1">
      <alignment horizontal="center" vertical="center"/>
    </xf>
    <xf numFmtId="167" fontId="4" fillId="0" borderId="0" xfId="0" applyNumberFormat="1" applyFont="1" applyAlignment="1">
      <alignment horizontal="center" vertical="center"/>
    </xf>
    <xf numFmtId="0" fontId="6" fillId="0" borderId="0" xfId="0" applyFont="1" applyAlignment="1">
      <alignment vertical="center" indent="1"/>
    </xf>
    <xf numFmtId="0" fontId="7" fillId="0" borderId="0" xfId="0" applyFont="1" applyAlignment="1">
      <alignment horizontal="center" vertical="center"/>
    </xf>
    <xf numFmtId="168" fontId="4" fillId="0" borderId="0" xfId="0" applyNumberFormat="1" applyFont="1" applyAlignment="1">
      <alignment horizontal="center" vertical="center"/>
    </xf>
    <xf numFmtId="164" fontId="6" fillId="0" borderId="0" xfId="0" applyNumberFormat="1" applyFont="1" applyAlignment="1">
      <alignment horizontal="center" vertical="center"/>
    </xf>
    <xf numFmtId="0" fontId="5" fillId="0" borderId="0" xfId="0" applyFont="1" applyAlignment="1">
      <alignment vertical="center" indent="1"/>
    </xf>
    <xf numFmtId="164" fontId="5" fillId="0" borderId="0" xfId="0" applyNumberFormat="1" applyFont="1" applyAlignment="1">
      <alignment horizontal="center" vertical="center"/>
    </xf>
    <xf numFmtId="0" fontId="0" fillId="0" borderId="0" xfId="0" applyAlignment="1">
      <alignment horizontal="center" vertical="center"/>
    </xf>
    <xf numFmtId="169" fontId="4" fillId="0" borderId="0" xfId="0" applyNumberFormat="1" applyFont="1" applyAlignment="1">
      <alignment horizontal="center" vertical="center"/>
    </xf>
    <xf numFmtId="170" fontId="6" fillId="0" borderId="0" xfId="0" applyNumberFormat="1" applyFont="1" applyAlignment="1">
      <alignment horizontal="center" vertical="center"/>
    </xf>
    <xf numFmtId="0" fontId="8" fillId="0" borderId="0" xfId="0" applyFont="1"/>
    <xf numFmtId="0" fontId="9" fillId="4" borderId="0" xfId="0" applyFont="1" applyFill="1"/>
    <xf numFmtId="0" fontId="5" fillId="0" borderId="0" xfId="0" applyFont="1"/>
    <xf numFmtId="0" fontId="5" fillId="0" borderId="0" xfId="0" applyFont="1" applyAlignment="1">
      <alignment horizontal="center" vertical="center"/>
    </xf>
    <xf numFmtId="0" fontId="5" fillId="3" borderId="0" xfId="0" applyFont="1" applyFill="1" applyAlignment="1">
      <alignment horizontal="center" vertical="center"/>
    </xf>
    <xf numFmtId="0" fontId="5" fillId="5" borderId="0" xfId="0" applyFont="1" applyFill="1"/>
    <xf numFmtId="0" fontId="0" fillId="5" borderId="0" xfId="0" applyFill="1"/>
    <xf numFmtId="167" fontId="4" fillId="0" borderId="3" xfId="0" applyNumberFormat="1" applyFont="1" applyBorder="1" applyAlignment="1">
      <alignment horizontal="center" vertical="center"/>
    </xf>
    <xf numFmtId="168" fontId="4" fillId="0" borderId="3" xfId="0" applyNumberFormat="1" applyFont="1" applyBorder="1" applyAlignment="1">
      <alignment horizontal="center" vertical="center"/>
    </xf>
    <xf numFmtId="170" fontId="4" fillId="0" borderId="3" xfId="0" applyNumberFormat="1" applyFont="1" applyBorder="1" applyAlignment="1">
      <alignment horizontal="center" vertical="center"/>
    </xf>
    <xf numFmtId="164" fontId="4" fillId="0" borderId="3" xfId="0" applyNumberFormat="1" applyFont="1" applyBorder="1" applyAlignment="1">
      <alignment horizontal="center" vertical="center"/>
    </xf>
    <xf numFmtId="169" fontId="4" fillId="0" borderId="3" xfId="0" applyNumberFormat="1" applyFont="1" applyBorder="1" applyAlignment="1">
      <alignment horizontal="center" vertical="center"/>
    </xf>
    <xf numFmtId="0" fontId="8" fillId="0" borderId="0" xfId="0" applyFont="1" applyAlignment="1">
      <alignment vertical="center"/>
    </xf>
    <xf numFmtId="0" fontId="10" fillId="0" borderId="0" xfId="0" applyFont="1"/>
    <xf numFmtId="0" fontId="6" fillId="0" borderId="0" xfId="0" applyFont="1"/>
    <xf numFmtId="0" fontId="11" fillId="6" borderId="3" xfId="0" applyFont="1" applyFill="1" applyBorder="1" applyAlignment="1">
      <alignment horizontal="center" vertical="center"/>
    </xf>
    <xf numFmtId="0" fontId="7" fillId="0" borderId="0" xfId="0" applyFont="1"/>
    <xf numFmtId="171" fontId="12" fillId="0" borderId="0" xfId="0" applyNumberFormat="1" applyFont="1" applyAlignment="1">
      <alignment horizontal="center" vertical="center"/>
    </xf>
    <xf numFmtId="171" fontId="13" fillId="7" borderId="3" xfId="0" applyNumberFormat="1" applyFont="1" applyFill="1" applyBorder="1" applyAlignment="1">
      <alignment horizontal="center" vertical="center"/>
    </xf>
    <xf numFmtId="165" fontId="12" fillId="0" borderId="0" xfId="0" applyNumberFormat="1" applyFont="1" applyAlignment="1">
      <alignment horizontal="center" vertical="center"/>
    </xf>
    <xf numFmtId="172" fontId="13" fillId="7" borderId="3" xfId="0" applyNumberFormat="1" applyFont="1" applyFill="1" applyBorder="1" applyAlignment="1">
      <alignment horizontal="center" vertical="center"/>
    </xf>
    <xf numFmtId="172" fontId="12" fillId="0" borderId="0" xfId="0" applyNumberFormat="1" applyFont="1" applyAlignment="1">
      <alignment horizontal="center" vertical="center"/>
    </xf>
    <xf numFmtId="168" fontId="13" fillId="7" borderId="3" xfId="0" applyNumberFormat="1" applyFont="1" applyFill="1" applyBorder="1" applyAlignment="1">
      <alignment horizontal="center" vertical="center"/>
    </xf>
    <xf numFmtId="169" fontId="12" fillId="0" borderId="0" xfId="0" applyNumberFormat="1" applyFont="1" applyAlignment="1">
      <alignment horizontal="center" vertical="center"/>
    </xf>
    <xf numFmtId="168" fontId="12" fillId="0" borderId="0" xfId="0" applyNumberFormat="1" applyFont="1" applyAlignment="1">
      <alignment horizontal="center" vertical="center"/>
    </xf>
    <xf numFmtId="164" fontId="12" fillId="0" borderId="0" xfId="0" applyNumberFormat="1" applyFont="1" applyAlignment="1">
      <alignment horizontal="center" vertical="center"/>
    </xf>
    <xf numFmtId="0" fontId="5" fillId="0" borderId="3" xfId="0" applyFont="1" applyBorder="1" applyAlignment="1">
      <alignment horizontal="center" vertical="center"/>
    </xf>
    <xf numFmtId="167" fontId="12" fillId="0" borderId="0" xfId="0" applyNumberFormat="1" applyFont="1" applyAlignment="1">
      <alignment horizontal="center" vertical="center"/>
    </xf>
    <xf numFmtId="170" fontId="12" fillId="0" borderId="0" xfId="0" applyNumberFormat="1" applyFont="1" applyAlignment="1">
      <alignment horizontal="center" vertical="center"/>
    </xf>
    <xf numFmtId="0" fontId="14" fillId="0" borderId="0" xfId="0" applyFont="1"/>
    <xf numFmtId="0" fontId="15" fillId="0" borderId="0" xfId="1" applyFont="1" applyBorder="1"/>
    <xf numFmtId="0" fontId="16" fillId="0" borderId="0" xfId="0" applyFont="1"/>
    <xf numFmtId="0" fontId="16" fillId="0" borderId="0" xfId="0" applyFont="1" applyAlignment="1">
      <alignment horizontal="center" vertical="center"/>
    </xf>
    <xf numFmtId="0" fontId="17" fillId="2" borderId="0" xfId="0" applyFont="1" applyFill="1"/>
    <xf numFmtId="0" fontId="18" fillId="2" borderId="0" xfId="0" applyFont="1" applyFill="1"/>
    <xf numFmtId="0" fontId="18" fillId="2" borderId="0" xfId="0" applyFont="1" applyFill="1" applyAlignment="1">
      <alignment horizontal="center" vertical="center"/>
    </xf>
    <xf numFmtId="164" fontId="19" fillId="0" borderId="0" xfId="0" applyNumberFormat="1" applyFont="1"/>
    <xf numFmtId="0" fontId="20" fillId="0" borderId="0" xfId="0" applyFont="1"/>
    <xf numFmtId="0" fontId="21" fillId="0" borderId="0" xfId="0" applyFont="1"/>
    <xf numFmtId="0" fontId="16" fillId="5" borderId="0" xfId="0" applyFont="1" applyFill="1"/>
    <xf numFmtId="0" fontId="22" fillId="0" borderId="0" xfId="0" applyFont="1"/>
    <xf numFmtId="0" fontId="22" fillId="0" borderId="0" xfId="0" applyFont="1" applyAlignment="1">
      <alignment horizontal="center" vertical="center"/>
    </xf>
    <xf numFmtId="0" fontId="23" fillId="0" borderId="0" xfId="0" applyFont="1"/>
    <xf numFmtId="44" fontId="24" fillId="0" borderId="0" xfId="0" applyNumberFormat="1" applyFont="1"/>
    <xf numFmtId="0" fontId="24" fillId="0" borderId="0" xfId="0" applyFont="1"/>
    <xf numFmtId="0" fontId="25" fillId="2" borderId="0" xfId="0" applyFont="1" applyFill="1"/>
    <xf numFmtId="0" fontId="26" fillId="0" borderId="0" xfId="0" applyFont="1"/>
    <xf numFmtId="0" fontId="27" fillId="0" borderId="2" xfId="0" applyFont="1" applyBorder="1"/>
    <xf numFmtId="0" fontId="22" fillId="0" borderId="2" xfId="0" applyFont="1" applyBorder="1"/>
    <xf numFmtId="0" fontId="27" fillId="0" borderId="0" xfId="0" applyFont="1"/>
    <xf numFmtId="0" fontId="13" fillId="5" borderId="0" xfId="0" applyFont="1" applyFill="1"/>
    <xf numFmtId="167" fontId="6" fillId="0" borderId="0" xfId="0" applyNumberFormat="1" applyFont="1" applyAlignment="1">
      <alignment horizontal="center" vertical="center"/>
    </xf>
    <xf numFmtId="168" fontId="6" fillId="0" borderId="0" xfId="0" applyNumberFormat="1" applyFont="1" applyAlignment="1">
      <alignment horizontal="center" vertical="center"/>
    </xf>
    <xf numFmtId="169" fontId="6" fillId="0" borderId="0" xfId="0" applyNumberFormat="1" applyFont="1" applyAlignment="1">
      <alignment horizontal="center" vertical="center"/>
    </xf>
    <xf numFmtId="168" fontId="6" fillId="0" borderId="0" xfId="2" applyNumberFormat="1" applyFont="1" applyAlignment="1">
      <alignment horizontal="center" vertical="center"/>
    </xf>
    <xf numFmtId="164" fontId="6" fillId="0" borderId="0" xfId="2" applyNumberFormat="1" applyFont="1" applyAlignment="1">
      <alignment horizontal="center" vertical="center"/>
    </xf>
    <xf numFmtId="0" fontId="28" fillId="2" borderId="0" xfId="0" applyFont="1" applyFill="1" applyAlignment="1">
      <alignment horizontal="center" vertical="center"/>
    </xf>
    <xf numFmtId="0" fontId="22" fillId="2" borderId="0" xfId="0" applyFont="1" applyFill="1"/>
    <xf numFmtId="0" fontId="22" fillId="0" borderId="0" xfId="0" applyFont="1" applyAlignment="1">
      <alignment horizontal="center"/>
    </xf>
    <xf numFmtId="0" fontId="22" fillId="0" borderId="2" xfId="0" applyFont="1" applyBorder="1" applyAlignment="1">
      <alignment horizontal="center"/>
    </xf>
    <xf numFmtId="0" fontId="22" fillId="2" borderId="0" xfId="0" applyFont="1" applyFill="1" applyAlignment="1">
      <alignment horizontal="center"/>
    </xf>
    <xf numFmtId="0" fontId="27" fillId="0" borderId="0" xfId="0" applyFont="1" applyAlignment="1">
      <alignment horizontal="center" vertical="center"/>
    </xf>
    <xf numFmtId="0" fontId="22" fillId="2" borderId="0" xfId="0" applyFont="1" applyFill="1" applyAlignment="1">
      <alignment horizontal="center" vertical="center"/>
    </xf>
    <xf numFmtId="0" fontId="27" fillId="0" borderId="0" xfId="0" applyFont="1" applyAlignment="1">
      <alignment horizontal="center"/>
    </xf>
    <xf numFmtId="0" fontId="12" fillId="0" borderId="0" xfId="0" applyFont="1" applyAlignment="1">
      <alignment horizontal="center" vertical="center"/>
    </xf>
    <xf numFmtId="164" fontId="22" fillId="0" borderId="0" xfId="0" applyNumberFormat="1" applyFont="1" applyAlignment="1">
      <alignment horizontal="center" vertical="center"/>
    </xf>
    <xf numFmtId="164" fontId="22" fillId="0" borderId="2" xfId="0" applyNumberFormat="1" applyFont="1" applyBorder="1" applyAlignment="1">
      <alignment horizontal="center" vertical="center"/>
    </xf>
    <xf numFmtId="164" fontId="27" fillId="0" borderId="2" xfId="0" applyNumberFormat="1" applyFont="1" applyBorder="1" applyAlignment="1">
      <alignment horizontal="center" vertical="center"/>
    </xf>
    <xf numFmtId="173" fontId="27" fillId="0" borderId="0" xfId="0" applyNumberFormat="1" applyFont="1" applyAlignment="1">
      <alignment horizontal="center" vertical="center"/>
    </xf>
    <xf numFmtId="166" fontId="22" fillId="0" borderId="0" xfId="2" applyNumberFormat="1" applyFont="1" applyAlignment="1">
      <alignment horizontal="center" vertical="center"/>
    </xf>
    <xf numFmtId="0" fontId="27" fillId="0" borderId="2" xfId="0" applyFont="1" applyBorder="1" applyAlignment="1">
      <alignment horizontal="center"/>
    </xf>
    <xf numFmtId="164" fontId="27" fillId="0" borderId="0" xfId="0" applyNumberFormat="1" applyFont="1" applyAlignment="1">
      <alignment horizontal="center" vertical="center"/>
    </xf>
    <xf numFmtId="164" fontId="22" fillId="0" borderId="5" xfId="0" applyNumberFormat="1" applyFont="1" applyBorder="1" applyAlignment="1">
      <alignment horizontal="center" vertical="center"/>
    </xf>
    <xf numFmtId="0" fontId="27" fillId="0" borderId="6" xfId="0" applyFont="1" applyBorder="1"/>
    <xf numFmtId="164" fontId="27" fillId="0" borderId="6" xfId="0" applyNumberFormat="1" applyFont="1" applyBorder="1" applyAlignment="1">
      <alignment horizontal="center" vertical="center"/>
    </xf>
    <xf numFmtId="0" fontId="22" fillId="0" borderId="6" xfId="0" applyFont="1" applyBorder="1" applyAlignment="1">
      <alignment horizontal="center"/>
    </xf>
    <xf numFmtId="164" fontId="5" fillId="0" borderId="2" xfId="0" applyNumberFormat="1" applyFont="1" applyBorder="1" applyAlignment="1">
      <alignment horizontal="center" vertical="center"/>
    </xf>
    <xf numFmtId="164" fontId="11" fillId="0" borderId="0" xfId="0" applyNumberFormat="1" applyFont="1" applyAlignment="1">
      <alignment horizontal="center" vertical="center"/>
    </xf>
    <xf numFmtId="165" fontId="6" fillId="0" borderId="0" xfId="0" applyNumberFormat="1" applyFont="1" applyAlignment="1">
      <alignment horizontal="center" vertical="center"/>
    </xf>
    <xf numFmtId="164" fontId="5" fillId="7" borderId="6" xfId="0" applyNumberFormat="1" applyFont="1" applyFill="1" applyBorder="1" applyAlignment="1">
      <alignment horizontal="center" vertical="center"/>
    </xf>
    <xf numFmtId="167" fontId="4" fillId="6" borderId="3" xfId="0" applyNumberFormat="1" applyFont="1" applyFill="1" applyBorder="1" applyAlignment="1">
      <alignment horizontal="center" vertical="center"/>
    </xf>
    <xf numFmtId="168" fontId="4" fillId="6" borderId="3" xfId="0" applyNumberFormat="1" applyFont="1" applyFill="1" applyBorder="1" applyAlignment="1">
      <alignment horizontal="center" vertical="center"/>
    </xf>
    <xf numFmtId="170" fontId="5" fillId="0" borderId="0" xfId="0" applyNumberFormat="1" applyFont="1" applyAlignment="1">
      <alignment horizontal="center" vertical="center"/>
    </xf>
    <xf numFmtId="170" fontId="6" fillId="6" borderId="0" xfId="0" applyNumberFormat="1" applyFont="1" applyFill="1" applyAlignment="1">
      <alignment horizontal="center" vertical="center"/>
    </xf>
    <xf numFmtId="164" fontId="13" fillId="0" borderId="0" xfId="0" applyNumberFormat="1" applyFont="1" applyAlignment="1">
      <alignment horizontal="center" vertical="center"/>
    </xf>
    <xf numFmtId="170" fontId="4" fillId="6" borderId="3" xfId="0" applyNumberFormat="1" applyFont="1" applyFill="1" applyBorder="1" applyAlignment="1">
      <alignment horizontal="center" vertical="center"/>
    </xf>
    <xf numFmtId="164" fontId="4" fillId="6" borderId="3" xfId="0" applyNumberFormat="1" applyFont="1" applyFill="1" applyBorder="1" applyAlignment="1">
      <alignment horizontal="center" vertical="center"/>
    </xf>
    <xf numFmtId="169" fontId="4" fillId="6" borderId="3" xfId="0" applyNumberFormat="1" applyFont="1" applyFill="1" applyBorder="1" applyAlignment="1">
      <alignment horizontal="center" vertical="center"/>
    </xf>
    <xf numFmtId="169" fontId="5" fillId="0" borderId="0" xfId="0" applyNumberFormat="1" applyFont="1" applyAlignment="1">
      <alignment horizontal="center" vertical="center"/>
    </xf>
    <xf numFmtId="171" fontId="5" fillId="0" borderId="0" xfId="0" applyNumberFormat="1" applyFont="1" applyAlignment="1">
      <alignment horizontal="center" vertical="center"/>
    </xf>
    <xf numFmtId="0" fontId="5" fillId="0" borderId="0" xfId="0" applyFont="1" applyAlignment="1">
      <alignment horizontal="center" vertical="center" wrapText="1"/>
    </xf>
    <xf numFmtId="0" fontId="32" fillId="0" borderId="0" xfId="0" applyFont="1"/>
    <xf numFmtId="2" fontId="4" fillId="6" borderId="3" xfId="0" applyNumberFormat="1" applyFont="1" applyFill="1" applyBorder="1" applyAlignment="1">
      <alignment horizontal="center" vertical="center"/>
    </xf>
    <xf numFmtId="2" fontId="6" fillId="0" borderId="0" xfId="0" applyNumberFormat="1" applyFont="1" applyAlignment="1">
      <alignment horizontal="center" vertical="center"/>
    </xf>
    <xf numFmtId="2" fontId="5" fillId="0" borderId="0" xfId="0" applyNumberFormat="1" applyFont="1" applyAlignment="1">
      <alignment horizontal="center" vertical="center"/>
    </xf>
    <xf numFmtId="172" fontId="4" fillId="6" borderId="3" xfId="0" applyNumberFormat="1" applyFont="1" applyFill="1" applyBorder="1" applyAlignment="1">
      <alignment horizontal="center" vertical="center"/>
    </xf>
    <xf numFmtId="0" fontId="31" fillId="0" borderId="0" xfId="0" applyFont="1" applyAlignment="1">
      <alignment vertical="center" indent="1"/>
    </xf>
    <xf numFmtId="170" fontId="31" fillId="7" borderId="6" xfId="0" applyNumberFormat="1" applyFont="1" applyFill="1" applyBorder="1" applyAlignment="1">
      <alignment horizontal="center" vertical="center"/>
    </xf>
    <xf numFmtId="0" fontId="5" fillId="3" borderId="0" xfId="0" applyFont="1" applyFill="1"/>
    <xf numFmtId="0" fontId="0" fillId="3" borderId="0" xfId="0" applyFill="1"/>
    <xf numFmtId="0" fontId="33" fillId="3" borderId="0" xfId="0" applyFont="1" applyFill="1"/>
    <xf numFmtId="164" fontId="13" fillId="0" borderId="2" xfId="0" applyNumberFormat="1" applyFont="1" applyBorder="1" applyAlignment="1">
      <alignment horizontal="center" vertical="center"/>
    </xf>
    <xf numFmtId="174" fontId="6" fillId="0" borderId="0" xfId="0" applyNumberFormat="1" applyFont="1" applyAlignment="1">
      <alignment horizontal="center" vertical="center"/>
    </xf>
    <xf numFmtId="175" fontId="6" fillId="0" borderId="0" xfId="0" applyNumberFormat="1" applyFont="1" applyAlignment="1">
      <alignment horizontal="center" vertical="center"/>
    </xf>
    <xf numFmtId="0" fontId="33" fillId="0" borderId="0" xfId="0" applyFont="1"/>
    <xf numFmtId="171" fontId="6" fillId="0" borderId="0" xfId="0" applyNumberFormat="1" applyFont="1" applyAlignment="1">
      <alignment horizontal="center" vertical="center"/>
    </xf>
    <xf numFmtId="171" fontId="5" fillId="0" borderId="2" xfId="0" applyNumberFormat="1" applyFont="1" applyBorder="1" applyAlignment="1">
      <alignment horizontal="center" vertical="center"/>
    </xf>
    <xf numFmtId="171" fontId="4" fillId="0" borderId="0" xfId="0" applyNumberFormat="1" applyFont="1" applyAlignment="1">
      <alignment horizontal="center" vertical="center"/>
    </xf>
    <xf numFmtId="171" fontId="6" fillId="0" borderId="2" xfId="0" applyNumberFormat="1" applyFont="1" applyBorder="1" applyAlignment="1">
      <alignment horizontal="center" vertical="center"/>
    </xf>
    <xf numFmtId="171" fontId="31" fillId="7" borderId="2" xfId="0" applyNumberFormat="1" applyFont="1" applyFill="1" applyBorder="1" applyAlignment="1">
      <alignment horizontal="center" vertical="center"/>
    </xf>
    <xf numFmtId="0" fontId="34" fillId="0" borderId="0" xfId="0" applyFont="1" applyAlignment="1">
      <alignment vertical="center" indent="1"/>
    </xf>
    <xf numFmtId="172" fontId="34" fillId="7" borderId="6" xfId="0" applyNumberFormat="1" applyFont="1" applyFill="1" applyBorder="1" applyAlignment="1">
      <alignment horizontal="center" vertical="center"/>
    </xf>
    <xf numFmtId="168" fontId="5" fillId="0" borderId="0" xfId="0" applyNumberFormat="1" applyFont="1" applyAlignment="1">
      <alignment horizontal="center" vertical="center"/>
    </xf>
    <xf numFmtId="171" fontId="5" fillId="7" borderId="2" xfId="0" applyNumberFormat="1" applyFont="1" applyFill="1" applyBorder="1" applyAlignment="1">
      <alignment horizontal="center" vertical="center"/>
    </xf>
    <xf numFmtId="0" fontId="36" fillId="0" borderId="0" xfId="4" applyFont="1"/>
    <xf numFmtId="0" fontId="35" fillId="0" borderId="0" xfId="4"/>
    <xf numFmtId="0" fontId="37" fillId="0" borderId="0" xfId="4" applyFont="1"/>
    <xf numFmtId="0" fontId="5" fillId="0" borderId="0" xfId="4" applyFont="1"/>
    <xf numFmtId="0" fontId="6" fillId="0" borderId="0" xfId="4" applyFont="1"/>
    <xf numFmtId="0" fontId="34" fillId="3" borderId="0" xfId="4" applyFont="1" applyFill="1"/>
    <xf numFmtId="0" fontId="6" fillId="3" borderId="0" xfId="4" applyFont="1" applyFill="1"/>
    <xf numFmtId="0" fontId="11" fillId="0" borderId="0" xfId="4" applyFont="1"/>
    <xf numFmtId="0" fontId="13" fillId="0" borderId="0" xfId="4" applyFont="1"/>
    <xf numFmtId="0" fontId="5" fillId="6" borderId="0" xfId="4" applyFont="1" applyFill="1"/>
    <xf numFmtId="0" fontId="14" fillId="0" borderId="0" xfId="4" applyFont="1"/>
    <xf numFmtId="0" fontId="39" fillId="0" borderId="0" xfId="0" applyFont="1"/>
    <xf numFmtId="0" fontId="5" fillId="3" borderId="0" xfId="0" applyFont="1" applyFill="1" applyAlignment="1">
      <alignment horizontal="center" vertical="center" wrapText="1"/>
    </xf>
    <xf numFmtId="0" fontId="10" fillId="0" borderId="0" xfId="0" applyFont="1" applyAlignment="1">
      <alignment vertical="center" indent="1"/>
    </xf>
    <xf numFmtId="0" fontId="7" fillId="0" borderId="0" xfId="0" applyFont="1" applyAlignment="1">
      <alignment vertical="center" indent="2"/>
    </xf>
    <xf numFmtId="172" fontId="13" fillId="0" borderId="0" xfId="0" applyNumberFormat="1" applyFont="1" applyAlignment="1">
      <alignment horizontal="center" vertical="center"/>
    </xf>
    <xf numFmtId="0" fontId="29" fillId="0" borderId="0" xfId="3" applyBorder="1"/>
    <xf numFmtId="170" fontId="5" fillId="3" borderId="3" xfId="0" applyNumberFormat="1" applyFont="1" applyFill="1" applyBorder="1" applyAlignment="1">
      <alignment horizontal="center" vertical="center"/>
    </xf>
    <xf numFmtId="168" fontId="5" fillId="3" borderId="3" xfId="0" applyNumberFormat="1" applyFont="1" applyFill="1" applyBorder="1" applyAlignment="1">
      <alignment horizontal="center" vertical="center"/>
    </xf>
    <xf numFmtId="172" fontId="30" fillId="0" borderId="0" xfId="0" applyNumberFormat="1" applyFont="1"/>
    <xf numFmtId="0" fontId="40" fillId="0" borderId="0" xfId="0" applyFont="1"/>
    <xf numFmtId="2" fontId="0" fillId="0" borderId="0" xfId="0" applyNumberFormat="1"/>
    <xf numFmtId="2" fontId="40" fillId="0" borderId="0" xfId="0" applyNumberFormat="1" applyFont="1"/>
    <xf numFmtId="169" fontId="27" fillId="8" borderId="0" xfId="0" applyNumberFormat="1" applyFont="1" applyFill="1" applyAlignment="1">
      <alignment horizontal="center" vertical="center"/>
    </xf>
    <xf numFmtId="172" fontId="22" fillId="0" borderId="0" xfId="0" applyNumberFormat="1" applyFont="1" applyAlignment="1">
      <alignment horizontal="center" vertical="center"/>
    </xf>
    <xf numFmtId="169" fontId="5" fillId="9" borderId="0" xfId="0" applyNumberFormat="1" applyFont="1" applyFill="1" applyAlignment="1">
      <alignment horizontal="center" vertical="center"/>
    </xf>
    <xf numFmtId="4" fontId="0" fillId="0" borderId="0" xfId="0" applyNumberFormat="1" applyAlignment="1">
      <alignment horizontal="center"/>
    </xf>
    <xf numFmtId="0" fontId="42" fillId="0" borderId="0" xfId="5" applyFont="1"/>
    <xf numFmtId="0" fontId="41" fillId="0" borderId="0" xfId="5"/>
    <xf numFmtId="0" fontId="43" fillId="0" borderId="0" xfId="5" applyFont="1"/>
    <xf numFmtId="0" fontId="9" fillId="10" borderId="0" xfId="5" applyFont="1" applyFill="1"/>
    <xf numFmtId="0" fontId="44" fillId="0" borderId="0" xfId="5" applyFont="1" applyAlignment="1">
      <alignment vertical="top" wrapText="1"/>
    </xf>
    <xf numFmtId="0" fontId="45" fillId="0" borderId="0" xfId="5" applyFont="1" applyAlignment="1">
      <alignment vertical="top" wrapText="1"/>
    </xf>
    <xf numFmtId="0" fontId="44" fillId="7" borderId="0" xfId="5" applyFont="1" applyFill="1" applyAlignment="1">
      <alignment vertical="top" wrapText="1"/>
    </xf>
    <xf numFmtId="0" fontId="8" fillId="0" borderId="0" xfId="0" applyFont="1" applyAlignment="1">
      <alignment vertical="center" wrapText="1"/>
    </xf>
    <xf numFmtId="0" fontId="6" fillId="0" borderId="0" xfId="4" applyFont="1" applyAlignment="1">
      <alignment vertical="center" wrapText="1"/>
    </xf>
    <xf numFmtId="0" fontId="38" fillId="0" borderId="0" xfId="4" applyFont="1" applyAlignment="1">
      <alignment vertical="center" wrapText="1"/>
    </xf>
    <xf numFmtId="0" fontId="39" fillId="0" borderId="0" xfId="5" applyFont="1" applyAlignment="1">
      <alignment vertical="top" wrapText="1"/>
    </xf>
  </cellXfs>
  <cellStyles count="6">
    <cellStyle name="Heading 1" xfId="1" builtinId="16"/>
    <cellStyle name="Heading 2" xfId="3" builtinId="17"/>
    <cellStyle name="Normal" xfId="0" builtinId="0"/>
    <cellStyle name="Normal 2" xfId="4" xr:uid="{B6D2F149-60F0-F748-8AD2-30897EE09366}"/>
    <cellStyle name="Normal 3" xfId="5" xr:uid="{9D2079B7-79B8-104B-A4AC-86BCC7728DEC}"/>
    <cellStyle name="Per cent" xfId="2" builtinId="5"/>
  </cellStyles>
  <dxfs count="0"/>
  <tableStyles count="0" defaultTableStyle="TableStyleMedium2" defaultPivotStyle="PivotStyleLight16"/>
  <colors>
    <mruColors>
      <color rgb="FFD9E2F3"/>
      <color rgb="FFD9FFFF"/>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0FBA4-A2FB-0345-BF6C-87BA7F8276C5}">
  <dimension ref="B2:C37"/>
  <sheetViews>
    <sheetView showGridLines="0" zoomScaleNormal="100" workbookViewId="0">
      <selection activeCell="K33" sqref="K33"/>
    </sheetView>
  </sheetViews>
  <sheetFormatPr baseColWidth="10" defaultColWidth="8.6640625" defaultRowHeight="15" x14ac:dyDescent="0.2"/>
  <cols>
    <col min="1" max="1" width="3" style="130" customWidth="1"/>
    <col min="2" max="2" width="40" style="130" customWidth="1"/>
    <col min="3" max="3" width="74" style="130" customWidth="1"/>
    <col min="4" max="16384" width="8.6640625" style="130"/>
  </cols>
  <sheetData>
    <row r="2" spans="2:3" ht="25" x14ac:dyDescent="0.25">
      <c r="B2" s="129" t="s">
        <v>520</v>
      </c>
    </row>
    <row r="3" spans="2:3" ht="17" x14ac:dyDescent="0.2">
      <c r="B3" s="131" t="s">
        <v>521</v>
      </c>
    </row>
    <row r="5" spans="2:3" x14ac:dyDescent="0.2">
      <c r="B5" s="132" t="s">
        <v>522</v>
      </c>
      <c r="C5" s="133" t="s">
        <v>523</v>
      </c>
    </row>
    <row r="6" spans="2:3" x14ac:dyDescent="0.2">
      <c r="B6" s="132" t="s">
        <v>524</v>
      </c>
      <c r="C6" s="133" t="s">
        <v>525</v>
      </c>
    </row>
    <row r="7" spans="2:3" x14ac:dyDescent="0.2">
      <c r="B7" s="132" t="s">
        <v>526</v>
      </c>
      <c r="C7" s="133" t="s">
        <v>527</v>
      </c>
    </row>
    <row r="8" spans="2:3" x14ac:dyDescent="0.2">
      <c r="B8" s="132" t="s">
        <v>528</v>
      </c>
      <c r="C8" s="133" t="s">
        <v>1</v>
      </c>
    </row>
    <row r="9" spans="2:3" x14ac:dyDescent="0.2">
      <c r="B9" s="132" t="s">
        <v>529</v>
      </c>
      <c r="C9" s="133" t="s">
        <v>530</v>
      </c>
    </row>
    <row r="11" spans="2:3" ht="16" x14ac:dyDescent="0.2">
      <c r="B11" s="134" t="s">
        <v>531</v>
      </c>
      <c r="C11" s="135"/>
    </row>
    <row r="12" spans="2:3" ht="15" customHeight="1" x14ac:dyDescent="0.2">
      <c r="B12" s="164" t="s">
        <v>532</v>
      </c>
      <c r="C12" s="164"/>
    </row>
    <row r="13" spans="2:3" x14ac:dyDescent="0.2">
      <c r="B13" s="164"/>
      <c r="C13" s="164"/>
    </row>
    <row r="14" spans="2:3" x14ac:dyDescent="0.2">
      <c r="B14" s="164"/>
      <c r="C14" s="164"/>
    </row>
    <row r="15" spans="2:3" x14ac:dyDescent="0.2">
      <c r="B15" s="164"/>
      <c r="C15" s="164"/>
    </row>
    <row r="17" spans="2:3" ht="16" x14ac:dyDescent="0.2">
      <c r="B17" s="134" t="s">
        <v>533</v>
      </c>
      <c r="C17" s="135"/>
    </row>
    <row r="18" spans="2:3" x14ac:dyDescent="0.2">
      <c r="B18" s="136" t="s">
        <v>534</v>
      </c>
      <c r="C18" s="133" t="s">
        <v>535</v>
      </c>
    </row>
    <row r="19" spans="2:3" x14ac:dyDescent="0.2">
      <c r="B19" s="132" t="s">
        <v>536</v>
      </c>
      <c r="C19" s="133" t="s">
        <v>537</v>
      </c>
    </row>
    <row r="20" spans="2:3" x14ac:dyDescent="0.2">
      <c r="B20" s="137" t="s">
        <v>538</v>
      </c>
      <c r="C20" s="133" t="s">
        <v>539</v>
      </c>
    </row>
    <row r="21" spans="2:3" x14ac:dyDescent="0.2">
      <c r="B21" s="138" t="s">
        <v>540</v>
      </c>
      <c r="C21" s="133" t="s">
        <v>541</v>
      </c>
    </row>
    <row r="22" spans="2:3" x14ac:dyDescent="0.2">
      <c r="B22" s="139" t="s">
        <v>542</v>
      </c>
      <c r="C22" s="133" t="s">
        <v>543</v>
      </c>
    </row>
    <row r="24" spans="2:3" ht="16" x14ac:dyDescent="0.2">
      <c r="B24" s="134" t="s">
        <v>544</v>
      </c>
      <c r="C24" s="135"/>
    </row>
    <row r="25" spans="2:3" x14ac:dyDescent="0.2">
      <c r="B25" s="137" t="s">
        <v>545</v>
      </c>
      <c r="C25" s="133" t="s">
        <v>546</v>
      </c>
    </row>
    <row r="26" spans="2:3" x14ac:dyDescent="0.2">
      <c r="B26" s="137" t="s">
        <v>547</v>
      </c>
      <c r="C26" s="133" t="s">
        <v>548</v>
      </c>
    </row>
    <row r="27" spans="2:3" x14ac:dyDescent="0.2">
      <c r="B27" s="137" t="s">
        <v>549</v>
      </c>
      <c r="C27" s="133" t="s">
        <v>550</v>
      </c>
    </row>
    <row r="28" spans="2:3" x14ac:dyDescent="0.2">
      <c r="B28" s="137" t="s">
        <v>551</v>
      </c>
      <c r="C28" s="133" t="s">
        <v>552</v>
      </c>
    </row>
    <row r="29" spans="2:3" x14ac:dyDescent="0.2">
      <c r="B29" s="137" t="s">
        <v>443</v>
      </c>
      <c r="C29" s="133" t="s">
        <v>553</v>
      </c>
    </row>
    <row r="30" spans="2:3" x14ac:dyDescent="0.2">
      <c r="B30" s="137" t="s">
        <v>554</v>
      </c>
      <c r="C30" s="133" t="s">
        <v>555</v>
      </c>
    </row>
    <row r="31" spans="2:3" x14ac:dyDescent="0.2">
      <c r="B31" s="137" t="s">
        <v>556</v>
      </c>
      <c r="C31" s="133" t="s">
        <v>557</v>
      </c>
    </row>
    <row r="32" spans="2:3" x14ac:dyDescent="0.2">
      <c r="B32" s="137" t="s">
        <v>558</v>
      </c>
      <c r="C32" s="133" t="s">
        <v>559</v>
      </c>
    </row>
    <row r="33" spans="2:3" x14ac:dyDescent="0.2">
      <c r="B33" s="137" t="s">
        <v>560</v>
      </c>
      <c r="C33" s="133" t="s">
        <v>561</v>
      </c>
    </row>
    <row r="36" spans="2:3" ht="15" customHeight="1" x14ac:dyDescent="0.2">
      <c r="B36" s="139" t="s">
        <v>562</v>
      </c>
      <c r="C36" s="165" t="s">
        <v>563</v>
      </c>
    </row>
    <row r="37" spans="2:3" x14ac:dyDescent="0.2">
      <c r="C37" s="165"/>
    </row>
  </sheetData>
  <mergeCells count="2">
    <mergeCell ref="B12:C15"/>
    <mergeCell ref="C36:C37"/>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4D5B9-7E0C-C649-8383-A5D45030C95A}">
  <dimension ref="B2:M47"/>
  <sheetViews>
    <sheetView showGridLines="0" workbookViewId="0">
      <selection activeCell="N11" sqref="N11"/>
    </sheetView>
  </sheetViews>
  <sheetFormatPr baseColWidth="10" defaultRowHeight="16" x14ac:dyDescent="0.2"/>
  <cols>
    <col min="1" max="2" width="2.83203125" customWidth="1"/>
    <col min="3" max="3" width="50.5" bestFit="1" customWidth="1"/>
    <col min="5" max="5" width="13.1640625" bestFit="1" customWidth="1"/>
  </cols>
  <sheetData>
    <row r="2" spans="2:13" ht="20" x14ac:dyDescent="0.2">
      <c r="B2" s="45" t="s">
        <v>182</v>
      </c>
      <c r="C2" s="46"/>
      <c r="D2" s="46"/>
      <c r="E2" s="46"/>
      <c r="F2" s="46"/>
      <c r="G2" s="46"/>
      <c r="H2" s="46"/>
      <c r="I2" s="46"/>
      <c r="J2" s="46"/>
      <c r="K2" s="46"/>
      <c r="L2" s="46"/>
      <c r="M2" s="46"/>
    </row>
    <row r="3" spans="2:13" x14ac:dyDescent="0.2">
      <c r="B3" s="46"/>
      <c r="C3" s="28" t="s">
        <v>183</v>
      </c>
      <c r="D3" s="46"/>
      <c r="E3" s="46"/>
      <c r="F3" s="46"/>
      <c r="G3" s="46"/>
      <c r="H3" s="46"/>
      <c r="I3" s="46"/>
      <c r="J3" s="46"/>
      <c r="K3" s="46"/>
      <c r="L3" s="46"/>
      <c r="M3" s="46"/>
    </row>
    <row r="4" spans="2:13" x14ac:dyDescent="0.2">
      <c r="B4" s="46"/>
      <c r="C4" s="46"/>
      <c r="D4" s="46"/>
      <c r="E4" s="46"/>
      <c r="F4" s="46"/>
      <c r="G4" s="46"/>
      <c r="H4" s="46"/>
      <c r="I4" s="46"/>
      <c r="J4" s="46"/>
      <c r="K4" s="46"/>
      <c r="L4" s="46"/>
      <c r="M4" s="46"/>
    </row>
    <row r="5" spans="2:13" x14ac:dyDescent="0.2">
      <c r="B5" s="46"/>
      <c r="C5" s="16" t="s">
        <v>184</v>
      </c>
      <c r="D5" s="16"/>
      <c r="E5" s="16"/>
      <c r="F5" s="16"/>
      <c r="G5" s="46"/>
      <c r="H5" s="46"/>
      <c r="I5" s="46"/>
      <c r="J5" s="46"/>
      <c r="K5" s="46"/>
      <c r="L5" s="46"/>
      <c r="M5" s="46"/>
    </row>
    <row r="6" spans="2:13" x14ac:dyDescent="0.2">
      <c r="B6" s="46"/>
      <c r="C6" s="17" t="s">
        <v>185</v>
      </c>
      <c r="D6" s="18" t="s">
        <v>186</v>
      </c>
      <c r="E6" s="18" t="s">
        <v>187</v>
      </c>
      <c r="F6" s="17" t="s">
        <v>188</v>
      </c>
      <c r="G6" s="46"/>
      <c r="H6" s="46"/>
      <c r="I6" s="46"/>
      <c r="J6" s="46"/>
      <c r="K6" s="46"/>
      <c r="L6" s="46"/>
      <c r="M6" s="46"/>
    </row>
    <row r="7" spans="2:13" x14ac:dyDescent="0.2">
      <c r="B7" s="46"/>
      <c r="C7" s="29" t="s">
        <v>189</v>
      </c>
      <c r="D7" s="30">
        <v>3</v>
      </c>
      <c r="E7" s="18" t="str">
        <f>CHOOSE($D$7,"Base","Upside","Downside")</f>
        <v>Downside</v>
      </c>
      <c r="F7" s="31" t="s">
        <v>190</v>
      </c>
      <c r="G7" s="46"/>
      <c r="H7" s="46"/>
      <c r="I7" s="46"/>
      <c r="J7" s="46"/>
      <c r="K7" s="46"/>
      <c r="L7" s="46"/>
      <c r="M7" s="46"/>
    </row>
    <row r="8" spans="2:13" x14ac:dyDescent="0.2">
      <c r="B8" s="46"/>
      <c r="C8" s="29" t="s">
        <v>191</v>
      </c>
      <c r="D8" s="30">
        <v>1</v>
      </c>
      <c r="E8" s="18" t="str">
        <f>CHOOSE($D$8,"Included","Excluded")</f>
        <v>Included</v>
      </c>
      <c r="F8" s="31" t="s">
        <v>192</v>
      </c>
      <c r="G8" s="46"/>
      <c r="H8" s="46"/>
      <c r="I8" s="46"/>
      <c r="J8" s="46"/>
      <c r="K8" s="46"/>
      <c r="L8" s="46"/>
      <c r="M8" s="46"/>
    </row>
    <row r="9" spans="2:13" x14ac:dyDescent="0.2">
      <c r="B9" s="46"/>
      <c r="C9" s="29" t="s">
        <v>193</v>
      </c>
      <c r="D9" s="30">
        <v>1</v>
      </c>
      <c r="E9" s="18" t="str">
        <f>CHOOSE($D$9,"Gordon growth","Exit multiple")</f>
        <v>Gordon growth</v>
      </c>
      <c r="F9" s="31" t="s">
        <v>194</v>
      </c>
      <c r="G9" s="46"/>
      <c r="H9" s="46"/>
      <c r="I9" s="46"/>
      <c r="J9" s="46"/>
      <c r="K9" s="46"/>
      <c r="L9" s="46"/>
      <c r="M9" s="46"/>
    </row>
    <row r="10" spans="2:13" x14ac:dyDescent="0.2">
      <c r="B10" s="46"/>
      <c r="C10" s="29" t="s">
        <v>195</v>
      </c>
      <c r="D10" s="30">
        <v>1</v>
      </c>
      <c r="E10" s="18" t="str">
        <f>CHOOSE($D$10,"Mid-year","Year-end")</f>
        <v>Mid-year</v>
      </c>
      <c r="F10" s="31" t="s">
        <v>196</v>
      </c>
      <c r="G10" s="46"/>
      <c r="H10" s="46"/>
      <c r="I10" s="46"/>
      <c r="J10" s="46"/>
      <c r="K10" s="46"/>
      <c r="L10" s="46"/>
      <c r="M10" s="46"/>
    </row>
    <row r="11" spans="2:13" x14ac:dyDescent="0.2">
      <c r="B11" s="46"/>
      <c r="C11" s="46"/>
      <c r="D11" s="46"/>
      <c r="E11" s="46"/>
      <c r="F11" s="46"/>
      <c r="G11" s="46"/>
      <c r="H11" s="46"/>
      <c r="I11" s="46"/>
      <c r="J11" s="46"/>
      <c r="K11" s="46"/>
      <c r="L11" s="46"/>
      <c r="M11" s="46"/>
    </row>
    <row r="12" spans="2:13" x14ac:dyDescent="0.2">
      <c r="B12" s="46"/>
      <c r="C12" s="16" t="s">
        <v>197</v>
      </c>
      <c r="D12" s="16"/>
      <c r="E12" s="16"/>
      <c r="F12" s="16"/>
      <c r="G12" s="46"/>
      <c r="H12" s="46"/>
      <c r="I12" s="46"/>
      <c r="J12" s="46"/>
      <c r="K12" s="46"/>
      <c r="L12" s="46"/>
      <c r="M12" s="46"/>
    </row>
    <row r="13" spans="2:13" x14ac:dyDescent="0.2">
      <c r="B13" s="46"/>
      <c r="C13" s="17" t="s">
        <v>198</v>
      </c>
      <c r="D13" s="18" t="s">
        <v>199</v>
      </c>
      <c r="E13" s="46"/>
      <c r="F13" s="17" t="s">
        <v>200</v>
      </c>
      <c r="G13" s="46"/>
      <c r="H13" s="46"/>
      <c r="I13" s="46"/>
      <c r="J13" s="46"/>
      <c r="K13" s="46"/>
      <c r="L13" s="46"/>
      <c r="M13" s="46"/>
    </row>
    <row r="14" spans="2:13" x14ac:dyDescent="0.2">
      <c r="B14" s="46"/>
      <c r="C14" s="29" t="s">
        <v>201</v>
      </c>
      <c r="D14" s="32">
        <f>DCF!E41</f>
        <v>955.51947675780957</v>
      </c>
      <c r="E14" s="46"/>
      <c r="F14" s="15" t="s">
        <v>202</v>
      </c>
      <c r="G14" s="46"/>
      <c r="H14" s="46"/>
      <c r="I14" s="46"/>
      <c r="J14" s="46"/>
      <c r="K14" s="46"/>
      <c r="L14" s="46"/>
      <c r="M14" s="46"/>
    </row>
    <row r="15" spans="2:13" x14ac:dyDescent="0.2">
      <c r="B15" s="46"/>
      <c r="C15" s="29" t="s">
        <v>203</v>
      </c>
      <c r="D15" s="32">
        <f>DCF!E44</f>
        <v>-119.6</v>
      </c>
      <c r="E15" s="46"/>
      <c r="F15" s="15" t="s">
        <v>204</v>
      </c>
      <c r="G15" s="46"/>
      <c r="H15" s="46"/>
      <c r="I15" s="46"/>
      <c r="J15" s="46"/>
      <c r="K15" s="46"/>
      <c r="L15" s="46"/>
      <c r="M15" s="46"/>
    </row>
    <row r="16" spans="2:13" x14ac:dyDescent="0.2">
      <c r="B16" s="46"/>
      <c r="C16" s="17" t="s">
        <v>205</v>
      </c>
      <c r="D16" s="33">
        <f>DCF!E45</f>
        <v>835.91947675780955</v>
      </c>
      <c r="E16" s="46"/>
      <c r="F16" s="15" t="s">
        <v>206</v>
      </c>
      <c r="G16" s="46"/>
      <c r="H16" s="46"/>
      <c r="I16" s="46"/>
      <c r="J16" s="46"/>
      <c r="K16" s="46"/>
      <c r="L16" s="46"/>
      <c r="M16" s="46"/>
    </row>
    <row r="17" spans="2:13" x14ac:dyDescent="0.2">
      <c r="B17" s="46"/>
      <c r="C17" s="29" t="s">
        <v>207</v>
      </c>
      <c r="D17" s="34">
        <f>DCF!E46</f>
        <v>118.07692307692307</v>
      </c>
      <c r="E17" s="46"/>
      <c r="F17" s="15" t="s">
        <v>208</v>
      </c>
      <c r="G17" s="46"/>
      <c r="H17" s="46"/>
      <c r="I17" s="46"/>
      <c r="J17" s="46"/>
      <c r="K17" s="46"/>
      <c r="L17" s="46"/>
      <c r="M17" s="46"/>
    </row>
    <row r="18" spans="2:13" x14ac:dyDescent="0.2">
      <c r="B18" s="46"/>
      <c r="C18" s="17" t="s">
        <v>209</v>
      </c>
      <c r="D18" s="35">
        <f>DCF!E47</f>
        <v>7.0794483373625567</v>
      </c>
      <c r="E18" s="46"/>
      <c r="F18" s="15" t="s">
        <v>210</v>
      </c>
      <c r="G18" s="46"/>
      <c r="H18" s="46"/>
      <c r="I18" s="46"/>
      <c r="J18" s="46"/>
      <c r="K18" s="46"/>
      <c r="L18" s="46"/>
      <c r="M18" s="46"/>
    </row>
    <row r="19" spans="2:13" x14ac:dyDescent="0.2">
      <c r="B19" s="46"/>
      <c r="C19" s="29" t="s">
        <v>211</v>
      </c>
      <c r="D19" s="36">
        <f>DCF!E48</f>
        <v>8.24</v>
      </c>
      <c r="E19" s="46"/>
      <c r="F19" s="15" t="s">
        <v>212</v>
      </c>
      <c r="G19" s="46"/>
      <c r="H19" s="46"/>
      <c r="I19" s="46"/>
      <c r="J19" s="46"/>
      <c r="K19" s="46"/>
      <c r="L19" s="46"/>
      <c r="M19" s="46"/>
    </row>
    <row r="20" spans="2:13" x14ac:dyDescent="0.2">
      <c r="B20" s="46"/>
      <c r="C20" s="17" t="s">
        <v>213</v>
      </c>
      <c r="D20" s="37">
        <f>DCF!E49</f>
        <v>-0.14084364837833052</v>
      </c>
      <c r="E20" s="46"/>
      <c r="F20" s="15" t="s">
        <v>214</v>
      </c>
      <c r="G20" s="46"/>
      <c r="H20" s="46"/>
      <c r="I20" s="46"/>
      <c r="J20" s="46"/>
      <c r="K20" s="46"/>
      <c r="L20" s="46"/>
      <c r="M20" s="46"/>
    </row>
    <row r="21" spans="2:13" x14ac:dyDescent="0.2">
      <c r="B21" s="46"/>
      <c r="C21" s="29" t="s">
        <v>215</v>
      </c>
      <c r="D21" s="38">
        <f>DCF!E52</f>
        <v>5.9422520443468256</v>
      </c>
      <c r="E21" s="46"/>
      <c r="F21" s="15" t="s">
        <v>216</v>
      </c>
      <c r="G21" s="46"/>
      <c r="H21" s="46"/>
      <c r="I21" s="46"/>
      <c r="J21" s="46"/>
      <c r="K21" s="46"/>
      <c r="L21" s="46"/>
      <c r="M21" s="46"/>
    </row>
    <row r="22" spans="2:13" x14ac:dyDescent="0.2">
      <c r="B22" s="46"/>
      <c r="C22" s="29" t="s">
        <v>217</v>
      </c>
      <c r="D22" s="39">
        <f>DCF!E53</f>
        <v>0.58249958194866902</v>
      </c>
      <c r="E22" s="46"/>
      <c r="F22" s="15" t="s">
        <v>218</v>
      </c>
      <c r="G22" s="46"/>
      <c r="H22" s="46"/>
      <c r="I22" s="46"/>
      <c r="J22" s="46"/>
      <c r="K22" s="46"/>
      <c r="L22" s="46"/>
      <c r="M22" s="46"/>
    </row>
    <row r="23" spans="2:13" x14ac:dyDescent="0.2">
      <c r="B23" s="46"/>
      <c r="C23" s="46"/>
      <c r="D23" s="46"/>
      <c r="E23" s="46"/>
      <c r="F23" s="46"/>
      <c r="G23" s="46"/>
      <c r="H23" s="46"/>
      <c r="I23" s="46"/>
      <c r="J23" s="46"/>
      <c r="K23" s="46"/>
      <c r="L23" s="46"/>
      <c r="M23" s="46"/>
    </row>
    <row r="24" spans="2:13" x14ac:dyDescent="0.2">
      <c r="B24" s="46"/>
      <c r="C24" s="16" t="s">
        <v>219</v>
      </c>
      <c r="D24" s="16"/>
      <c r="E24" s="16"/>
      <c r="F24" s="16"/>
      <c r="G24" s="46"/>
      <c r="H24" s="46"/>
      <c r="I24" s="46"/>
      <c r="J24" s="46"/>
      <c r="K24" s="46"/>
      <c r="L24" s="46"/>
      <c r="M24" s="46"/>
    </row>
    <row r="25" spans="2:13" x14ac:dyDescent="0.2">
      <c r="B25" s="46"/>
      <c r="C25" s="17" t="s">
        <v>220</v>
      </c>
      <c r="D25" s="18" t="s">
        <v>221</v>
      </c>
      <c r="E25" s="18" t="s">
        <v>222</v>
      </c>
      <c r="F25" s="17" t="s">
        <v>223</v>
      </c>
      <c r="G25" s="46"/>
      <c r="H25" s="46"/>
      <c r="I25" s="46"/>
      <c r="J25" s="46"/>
      <c r="K25" s="46"/>
      <c r="L25" s="46"/>
      <c r="M25" s="46"/>
    </row>
    <row r="26" spans="2:13" x14ac:dyDescent="0.2">
      <c r="B26" s="46"/>
      <c r="C26" s="29" t="s">
        <v>224</v>
      </c>
      <c r="D26" s="40">
        <f>Model!E40-Historicals!H6</f>
        <v>0</v>
      </c>
      <c r="E26" s="41" t="str">
        <f>IF(ABS(D26)&lt;0.5,"OK","CHECK")</f>
        <v>OK</v>
      </c>
      <c r="F26" s="15" t="s">
        <v>225</v>
      </c>
      <c r="G26" s="46"/>
      <c r="H26" s="46"/>
      <c r="I26" s="46"/>
      <c r="J26" s="46"/>
      <c r="K26" s="46"/>
      <c r="L26" s="46"/>
      <c r="M26" s="46"/>
    </row>
    <row r="27" spans="2:13" x14ac:dyDescent="0.2">
      <c r="B27" s="46"/>
      <c r="C27" s="29" t="s">
        <v>226</v>
      </c>
      <c r="D27" s="40">
        <f>Model!E45-Historicals!H7</f>
        <v>9.0000000000145519E-4</v>
      </c>
      <c r="E27" s="41" t="str">
        <f>IF(ABS(D27)&lt;0.5,"OK","CHECK")</f>
        <v>OK</v>
      </c>
      <c r="F27" s="15" t="s">
        <v>227</v>
      </c>
      <c r="G27" s="46"/>
      <c r="H27" s="46"/>
      <c r="I27" s="46"/>
      <c r="J27" s="46"/>
      <c r="K27" s="46"/>
      <c r="L27" s="46"/>
      <c r="M27" s="46"/>
    </row>
    <row r="28" spans="2:13" x14ac:dyDescent="0.2">
      <c r="B28" s="46"/>
      <c r="C28" s="29" t="s">
        <v>228</v>
      </c>
      <c r="D28" s="40">
        <f>Model!E40-Model!E12-Model!E34</f>
        <v>0</v>
      </c>
      <c r="E28" s="41" t="str">
        <f>IF(ABS(D28)&lt;0.1,"OK","CHECK")</f>
        <v>OK</v>
      </c>
      <c r="F28" s="15" t="s">
        <v>229</v>
      </c>
      <c r="G28" s="46"/>
      <c r="H28" s="46"/>
      <c r="I28" s="46"/>
      <c r="J28" s="46"/>
      <c r="K28" s="46"/>
      <c r="L28" s="46"/>
      <c r="M28" s="46"/>
    </row>
    <row r="29" spans="2:13" x14ac:dyDescent="0.2">
      <c r="B29" s="46"/>
      <c r="C29" s="29" t="s">
        <v>230</v>
      </c>
      <c r="D29" s="40">
        <f>Historicals!H69</f>
        <v>6.9988599348534137</v>
      </c>
      <c r="E29" s="41" t="str">
        <f>IF(AND(D29&gt;0,D29&lt;15),"OK","CHECK")</f>
        <v>OK</v>
      </c>
      <c r="F29" s="15" t="s">
        <v>231</v>
      </c>
      <c r="G29" s="46"/>
      <c r="H29" s="46"/>
      <c r="I29" s="46"/>
      <c r="J29" s="46"/>
      <c r="K29" s="46"/>
      <c r="L29" s="46"/>
      <c r="M29" s="46"/>
    </row>
    <row r="30" spans="2:13" x14ac:dyDescent="0.2">
      <c r="B30" s="46"/>
      <c r="C30" s="29" t="s">
        <v>232</v>
      </c>
      <c r="D30" s="42">
        <f>D7</f>
        <v>3</v>
      </c>
      <c r="E30" s="41" t="str">
        <f>IF(AND(D30&gt;=1,D30&lt;=3),"OK","CHECK")</f>
        <v>OK</v>
      </c>
      <c r="F30" s="15" t="s">
        <v>233</v>
      </c>
      <c r="G30" s="46"/>
      <c r="H30" s="46"/>
      <c r="I30" s="46"/>
      <c r="J30" s="46"/>
      <c r="K30" s="46"/>
      <c r="L30" s="46"/>
      <c r="M30" s="46"/>
    </row>
    <row r="31" spans="2:13" x14ac:dyDescent="0.2">
      <c r="B31" s="46"/>
      <c r="C31" s="29" t="s">
        <v>234</v>
      </c>
      <c r="D31" s="43">
        <f>DCF!E9-DCF!E17</f>
        <v>7.4350867410161101E-2</v>
      </c>
      <c r="E31" s="41" t="str">
        <f>IF(D31&gt;0.005,"OK","CHECK")</f>
        <v>OK</v>
      </c>
      <c r="F31" s="15" t="s">
        <v>235</v>
      </c>
      <c r="G31" s="46"/>
      <c r="H31" s="46"/>
      <c r="I31" s="46"/>
      <c r="J31" s="46"/>
      <c r="K31" s="46"/>
      <c r="L31" s="46"/>
      <c r="M31" s="46"/>
    </row>
    <row r="32" spans="2:13" x14ac:dyDescent="0.2">
      <c r="B32" s="46"/>
      <c r="C32" s="29" t="s">
        <v>236</v>
      </c>
      <c r="D32" s="40">
        <f>Model!F61</f>
        <v>86.644203839597736</v>
      </c>
      <c r="E32" s="41" t="str">
        <f>IF($D$7&lt;&gt;1,"n/a",IF(AND(D32&gt;=75,D32&lt;=105),"OK","CHECK"))</f>
        <v>n/a</v>
      </c>
      <c r="F32" s="15" t="s">
        <v>237</v>
      </c>
      <c r="G32" s="46"/>
      <c r="H32" s="46"/>
      <c r="I32" s="46"/>
      <c r="J32" s="46"/>
      <c r="K32" s="46"/>
      <c r="L32" s="46"/>
      <c r="M32" s="46"/>
    </row>
    <row r="33" spans="2:13" x14ac:dyDescent="0.2">
      <c r="B33" s="46"/>
      <c r="C33" s="29" t="s">
        <v>238</v>
      </c>
      <c r="D33" s="39">
        <f>DCF!E53</f>
        <v>0.58249958194866902</v>
      </c>
      <c r="E33" s="41" t="str">
        <f>IF(D33&lt;0.75,"OK",IF(D33&lt;0.85,"NOTE","HIGH"))</f>
        <v>OK</v>
      </c>
      <c r="F33" s="15" t="s">
        <v>239</v>
      </c>
      <c r="G33" s="46"/>
      <c r="H33" s="46"/>
      <c r="I33" s="46"/>
      <c r="J33" s="46"/>
      <c r="K33" s="46"/>
      <c r="L33" s="46"/>
      <c r="M33" s="46"/>
    </row>
    <row r="34" spans="2:13" x14ac:dyDescent="0.2">
      <c r="B34" s="46"/>
      <c r="C34" s="29" t="s">
        <v>240</v>
      </c>
      <c r="D34" s="40">
        <f>DCF!E43</f>
        <v>0</v>
      </c>
      <c r="E34" s="41" t="str">
        <f>IF(D34=0,"OK","CHECK")</f>
        <v>OK</v>
      </c>
      <c r="F34" s="15" t="s">
        <v>241</v>
      </c>
      <c r="G34" s="46"/>
      <c r="H34" s="46"/>
      <c r="I34" s="46"/>
      <c r="J34" s="46"/>
      <c r="K34" s="46"/>
      <c r="L34" s="46"/>
      <c r="M34" s="46"/>
    </row>
    <row r="35" spans="2:13" x14ac:dyDescent="0.2">
      <c r="B35" s="46"/>
      <c r="C35" s="29" t="s">
        <v>242</v>
      </c>
      <c r="D35" s="38">
        <f>DCF!E37</f>
        <v>6.2388064877432052</v>
      </c>
      <c r="E35" s="41" t="str">
        <f>IF(AND(D35&gt;3,D35&lt;14),"OK","CHECK")</f>
        <v>OK</v>
      </c>
      <c r="F35" s="15" t="s">
        <v>243</v>
      </c>
      <c r="G35" s="46"/>
      <c r="H35" s="46"/>
      <c r="I35" s="46"/>
      <c r="J35" s="46"/>
      <c r="K35" s="46"/>
      <c r="L35" s="46"/>
      <c r="M35" s="46"/>
    </row>
    <row r="36" spans="2:13" x14ac:dyDescent="0.2">
      <c r="B36" s="46"/>
      <c r="C36" s="29" t="s">
        <v>244</v>
      </c>
      <c r="D36" s="40">
        <f>Historicals!H46</f>
        <v>0</v>
      </c>
      <c r="E36" s="41" t="str">
        <f>IF(ABS(D36)&lt;0.1,"OK","CHECK")</f>
        <v>OK</v>
      </c>
      <c r="F36" s="15" t="s">
        <v>245</v>
      </c>
      <c r="G36" s="46"/>
      <c r="H36" s="46"/>
      <c r="I36" s="46"/>
      <c r="J36" s="46"/>
      <c r="K36" s="46"/>
      <c r="L36" s="46"/>
      <c r="M36" s="46"/>
    </row>
    <row r="37" spans="2:13" x14ac:dyDescent="0.2">
      <c r="B37" s="46"/>
      <c r="C37" s="29" t="s">
        <v>246</v>
      </c>
      <c r="D37" s="40">
        <f>'Capex &amp; PPE'!E51+(Historicals!H14-Historicals!H67)</f>
        <v>0</v>
      </c>
      <c r="E37" s="41" t="str">
        <f>IF(ABS(D37)&lt;0.1,"OK","CHECK")</f>
        <v>OK</v>
      </c>
      <c r="F37" s="15" t="s">
        <v>247</v>
      </c>
      <c r="G37" s="46"/>
      <c r="H37" s="46"/>
      <c r="I37" s="46"/>
      <c r="J37" s="46"/>
      <c r="K37" s="46"/>
      <c r="L37" s="46"/>
      <c r="M37" s="46"/>
    </row>
    <row r="38" spans="2:13" x14ac:dyDescent="0.2">
      <c r="B38" s="46"/>
      <c r="C38" s="29" t="s">
        <v>248</v>
      </c>
      <c r="D38" s="40">
        <f>'Debt &amp; Leases'!E17-Historicals!H52</f>
        <v>0</v>
      </c>
      <c r="E38" s="41" t="str">
        <f>IF(ABS(D38)&lt;0.1,"OK","CHECK")</f>
        <v>OK</v>
      </c>
      <c r="F38" s="15" t="s">
        <v>249</v>
      </c>
      <c r="G38" s="46"/>
      <c r="H38" s="46"/>
      <c r="I38" s="46"/>
      <c r="J38" s="46"/>
      <c r="K38" s="46"/>
      <c r="L38" s="46"/>
      <c r="M38" s="46"/>
    </row>
    <row r="39" spans="2:13" x14ac:dyDescent="0.2">
      <c r="B39" s="46"/>
      <c r="C39" s="29" t="s">
        <v>250</v>
      </c>
      <c r="D39" s="40">
        <f>'Debt &amp; Leases'!E42-Historicals!H54</f>
        <v>0</v>
      </c>
      <c r="E39" s="41" t="str">
        <f>IF(ABS(D39)&lt;0.1,"OK","CHECK")</f>
        <v>OK</v>
      </c>
      <c r="F39" s="15" t="s">
        <v>251</v>
      </c>
      <c r="G39" s="46"/>
      <c r="H39" s="46"/>
      <c r="I39" s="46"/>
      <c r="J39" s="46"/>
      <c r="K39" s="46"/>
      <c r="L39" s="46"/>
      <c r="M39" s="46"/>
    </row>
    <row r="40" spans="2:13" x14ac:dyDescent="0.2">
      <c r="B40" s="46"/>
      <c r="C40" s="29" t="s">
        <v>252</v>
      </c>
      <c r="D40" s="40">
        <f>MIN('Debt &amp; Leases'!F28:N28)-'Debt &amp; Leases'!E10</f>
        <v>0</v>
      </c>
      <c r="E40" s="41" t="str">
        <f>IF(D40&gt;=-0.1,"OK","CHECK")</f>
        <v>OK</v>
      </c>
      <c r="F40" s="15" t="s">
        <v>253</v>
      </c>
      <c r="G40" s="46"/>
      <c r="H40" s="46"/>
      <c r="I40" s="46"/>
      <c r="J40" s="46"/>
      <c r="K40" s="46"/>
      <c r="L40" s="46"/>
      <c r="M40" s="46"/>
    </row>
    <row r="41" spans="2:13" x14ac:dyDescent="0.2">
      <c r="B41" s="46"/>
      <c r="C41" s="29" t="s">
        <v>254</v>
      </c>
      <c r="D41" s="38">
        <f>MAX('Debt &amp; Leases'!F33:N33)</f>
        <v>1.0849832478681487</v>
      </c>
      <c r="E41" s="41" t="str">
        <f>IF(D41&lt;'Debt &amp; Leases'!E11,"OK","BREACH")</f>
        <v>OK</v>
      </c>
      <c r="F41" s="15" t="s">
        <v>255</v>
      </c>
      <c r="G41" s="46"/>
      <c r="H41" s="46"/>
      <c r="I41" s="46"/>
      <c r="J41" s="46"/>
      <c r="K41" s="46"/>
      <c r="L41" s="46"/>
      <c r="M41" s="46"/>
    </row>
    <row r="42" spans="2:13" x14ac:dyDescent="0.2">
      <c r="B42" s="46"/>
      <c r="C42" s="46"/>
      <c r="D42" s="46"/>
      <c r="E42" s="46"/>
      <c r="F42" s="46"/>
      <c r="G42" s="46"/>
      <c r="H42" s="46"/>
      <c r="I42" s="46"/>
      <c r="J42" s="46"/>
      <c r="K42" s="46"/>
      <c r="L42" s="46"/>
      <c r="M42" s="46"/>
    </row>
    <row r="43" spans="2:13" x14ac:dyDescent="0.2">
      <c r="B43" s="46"/>
      <c r="C43" s="44"/>
      <c r="D43" s="46"/>
      <c r="E43" s="46"/>
      <c r="F43" s="46"/>
      <c r="G43" s="46"/>
      <c r="H43" s="46"/>
      <c r="I43" s="46"/>
      <c r="J43" s="46"/>
      <c r="K43" s="46"/>
      <c r="L43" s="46"/>
      <c r="M43" s="46"/>
    </row>
    <row r="44" spans="2:13" x14ac:dyDescent="0.2">
      <c r="B44" s="46"/>
      <c r="C44" s="163"/>
      <c r="D44" s="163"/>
      <c r="E44" s="163"/>
      <c r="F44" s="163"/>
      <c r="G44" s="46"/>
      <c r="H44" s="46"/>
      <c r="I44" s="46"/>
      <c r="J44" s="46"/>
      <c r="K44" s="46"/>
      <c r="L44" s="46"/>
      <c r="M44" s="46"/>
    </row>
    <row r="45" spans="2:13" x14ac:dyDescent="0.2">
      <c r="B45" s="46"/>
      <c r="C45" s="163"/>
      <c r="D45" s="163"/>
      <c r="E45" s="163"/>
      <c r="F45" s="163"/>
      <c r="G45" s="46"/>
      <c r="H45" s="46"/>
      <c r="I45" s="46"/>
      <c r="J45" s="46"/>
      <c r="K45" s="46"/>
      <c r="L45" s="46"/>
      <c r="M45" s="46"/>
    </row>
    <row r="46" spans="2:13" x14ac:dyDescent="0.2">
      <c r="B46" s="46"/>
      <c r="C46" s="46"/>
      <c r="D46" s="46"/>
      <c r="E46" s="46"/>
      <c r="F46" s="46"/>
      <c r="G46" s="46"/>
      <c r="H46" s="46"/>
      <c r="I46" s="46"/>
      <c r="J46" s="46"/>
      <c r="K46" s="46"/>
      <c r="L46" s="46"/>
      <c r="M46" s="46"/>
    </row>
    <row r="47" spans="2:13" x14ac:dyDescent="0.2">
      <c r="B47" s="46"/>
      <c r="C47" s="46"/>
      <c r="D47" s="46"/>
      <c r="E47" s="46"/>
      <c r="F47" s="46"/>
      <c r="G47" s="46"/>
      <c r="H47" s="46"/>
      <c r="I47" s="46"/>
      <c r="J47" s="46"/>
      <c r="K47" s="46"/>
      <c r="L47" s="46"/>
      <c r="M47" s="46"/>
    </row>
  </sheetData>
  <mergeCells count="1">
    <mergeCell ref="C44:F4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40EF4-F8B7-5C41-B95E-21AA4DD6A8B9}">
  <dimension ref="B2:AA134"/>
  <sheetViews>
    <sheetView showGridLines="0" topLeftCell="A73" workbookViewId="0">
      <selection activeCell="C85" sqref="C85"/>
    </sheetView>
  </sheetViews>
  <sheetFormatPr baseColWidth="10" defaultRowHeight="16" x14ac:dyDescent="0.2"/>
  <cols>
    <col min="1" max="2" width="2.83203125" customWidth="1"/>
    <col min="3" max="3" width="44.83203125" customWidth="1"/>
    <col min="14" max="14" width="2.83203125" customWidth="1"/>
  </cols>
  <sheetData>
    <row r="2" spans="2:27" ht="20" x14ac:dyDescent="0.2">
      <c r="B2" s="45" t="s">
        <v>129</v>
      </c>
      <c r="C2" s="46"/>
      <c r="D2" s="46"/>
      <c r="E2" s="46"/>
      <c r="F2" s="46"/>
      <c r="G2" s="46"/>
      <c r="H2" s="46"/>
      <c r="I2" s="46"/>
      <c r="J2" s="46"/>
      <c r="K2" s="46"/>
      <c r="L2" s="46"/>
      <c r="M2" s="46"/>
      <c r="N2" s="46"/>
      <c r="O2" s="46"/>
      <c r="P2" s="46"/>
      <c r="Q2" s="46"/>
      <c r="R2" s="46"/>
      <c r="S2" s="46"/>
      <c r="T2" s="46"/>
      <c r="U2" s="46"/>
      <c r="V2" s="46"/>
      <c r="W2" s="46"/>
      <c r="X2" s="46"/>
      <c r="Y2" s="46"/>
      <c r="Z2" s="46"/>
      <c r="AA2" s="46"/>
    </row>
    <row r="3" spans="2:27" x14ac:dyDescent="0.2">
      <c r="B3" s="46"/>
      <c r="C3" s="15"/>
      <c r="D3" s="46"/>
      <c r="E3" s="46"/>
      <c r="F3" s="46"/>
      <c r="G3" s="46"/>
      <c r="H3" s="46"/>
      <c r="I3" s="46"/>
      <c r="J3" s="46"/>
      <c r="K3" s="46"/>
      <c r="L3" s="46"/>
      <c r="M3" s="46"/>
      <c r="N3" s="46"/>
      <c r="O3" s="46"/>
      <c r="P3" s="46"/>
      <c r="Q3" s="46"/>
      <c r="R3" s="46"/>
      <c r="S3" s="46"/>
      <c r="T3" s="46"/>
      <c r="U3" s="46"/>
      <c r="V3" s="46"/>
      <c r="W3" s="46"/>
      <c r="X3" s="46"/>
      <c r="Y3" s="46"/>
      <c r="Z3" s="46"/>
      <c r="AA3" s="46"/>
    </row>
    <row r="4" spans="2:27" x14ac:dyDescent="0.2">
      <c r="B4" s="46"/>
      <c r="C4" s="46"/>
      <c r="D4" s="46"/>
      <c r="E4" s="46"/>
      <c r="F4" s="46"/>
      <c r="G4" s="46"/>
      <c r="H4" s="46"/>
      <c r="I4" s="46"/>
      <c r="J4" s="46"/>
      <c r="K4" s="46"/>
      <c r="L4" s="46"/>
      <c r="M4" s="46"/>
      <c r="N4" s="46"/>
      <c r="O4" s="46"/>
      <c r="P4" s="46"/>
      <c r="Q4" s="46"/>
      <c r="R4" s="46"/>
      <c r="S4" s="46"/>
      <c r="T4" s="46"/>
      <c r="U4" s="46"/>
      <c r="V4" s="46"/>
      <c r="W4" s="46"/>
      <c r="X4" s="46"/>
      <c r="Y4" s="46"/>
      <c r="Z4" s="46"/>
      <c r="AA4" s="46"/>
    </row>
    <row r="5" spans="2:27" x14ac:dyDescent="0.2">
      <c r="B5" s="46"/>
      <c r="C5" s="16" t="s">
        <v>130</v>
      </c>
      <c r="D5" s="16"/>
      <c r="E5" s="16"/>
      <c r="F5" s="16"/>
      <c r="G5" s="16"/>
      <c r="H5" s="16"/>
      <c r="I5" s="16"/>
      <c r="J5" s="16"/>
      <c r="K5" s="16"/>
      <c r="L5" s="16"/>
      <c r="M5" s="16"/>
      <c r="N5" s="16"/>
      <c r="O5" s="16"/>
      <c r="P5" s="46"/>
      <c r="Q5" s="46"/>
      <c r="R5" s="46"/>
      <c r="S5" s="46"/>
      <c r="T5" s="46"/>
      <c r="U5" s="46"/>
      <c r="V5" s="46"/>
      <c r="W5" s="46"/>
      <c r="X5" s="46"/>
      <c r="Y5" s="46"/>
      <c r="Z5" s="46"/>
      <c r="AA5" s="46"/>
    </row>
    <row r="6" spans="2:27" x14ac:dyDescent="0.2">
      <c r="B6" s="46"/>
      <c r="C6" s="17" t="s">
        <v>131</v>
      </c>
      <c r="D6" s="18" t="s">
        <v>59</v>
      </c>
      <c r="E6" s="19" t="s">
        <v>132</v>
      </c>
      <c r="F6" s="19" t="s">
        <v>133</v>
      </c>
      <c r="G6" s="19" t="s">
        <v>134</v>
      </c>
      <c r="H6" s="19" t="s">
        <v>135</v>
      </c>
      <c r="I6" s="19" t="s">
        <v>136</v>
      </c>
      <c r="J6" s="19" t="s">
        <v>298</v>
      </c>
      <c r="K6" s="19" t="s">
        <v>299</v>
      </c>
      <c r="L6" s="19" t="s">
        <v>300</v>
      </c>
      <c r="M6" s="19" t="s">
        <v>301</v>
      </c>
      <c r="N6" s="46"/>
      <c r="O6" s="17" t="s">
        <v>137</v>
      </c>
      <c r="P6" s="46"/>
      <c r="Q6" s="46"/>
      <c r="R6" s="46"/>
      <c r="S6" s="46"/>
      <c r="T6" s="46"/>
      <c r="U6" s="46"/>
      <c r="V6" s="46"/>
      <c r="W6" s="46"/>
      <c r="X6" s="46"/>
      <c r="Y6" s="46"/>
      <c r="Z6" s="46"/>
      <c r="AA6" s="46"/>
    </row>
    <row r="7" spans="2:27" x14ac:dyDescent="0.2">
      <c r="B7" s="46"/>
      <c r="C7" s="20" t="s">
        <v>138</v>
      </c>
      <c r="D7" s="54"/>
      <c r="E7" s="54"/>
      <c r="F7" s="54"/>
      <c r="G7" s="54"/>
      <c r="H7" s="54"/>
      <c r="I7" s="54"/>
      <c r="J7" s="54"/>
      <c r="K7" s="54"/>
      <c r="L7" s="54"/>
      <c r="M7" s="54"/>
      <c r="N7" s="54"/>
      <c r="O7" s="54"/>
      <c r="P7" s="46"/>
      <c r="Q7" s="46"/>
      <c r="R7" s="46"/>
      <c r="S7" s="46"/>
      <c r="T7" s="46"/>
      <c r="U7" s="46"/>
      <c r="V7" s="46"/>
      <c r="W7" s="46"/>
      <c r="X7" s="46"/>
      <c r="Y7" s="46"/>
      <c r="Z7" s="46"/>
      <c r="AA7" s="46"/>
    </row>
    <row r="8" spans="2:27" x14ac:dyDescent="0.2">
      <c r="B8" s="46"/>
      <c r="C8" s="6" t="s">
        <v>4</v>
      </c>
      <c r="D8" s="7" t="s">
        <v>79</v>
      </c>
      <c r="E8" s="22">
        <v>8</v>
      </c>
      <c r="F8" s="22">
        <v>8</v>
      </c>
      <c r="G8" s="22">
        <v>8</v>
      </c>
      <c r="H8" s="22">
        <v>8</v>
      </c>
      <c r="I8" s="22">
        <v>8</v>
      </c>
      <c r="J8" s="22">
        <v>7</v>
      </c>
      <c r="K8" s="22">
        <v>6</v>
      </c>
      <c r="L8" s="22">
        <v>5</v>
      </c>
      <c r="M8" s="22">
        <v>4</v>
      </c>
      <c r="N8" s="46"/>
      <c r="O8" s="27" t="s">
        <v>139</v>
      </c>
      <c r="P8" s="46"/>
      <c r="Q8" s="46"/>
      <c r="R8" s="46"/>
      <c r="S8" s="46"/>
      <c r="T8" s="46"/>
      <c r="U8" s="46"/>
      <c r="V8" s="46"/>
      <c r="W8" s="46"/>
      <c r="X8" s="46"/>
      <c r="Y8" s="46"/>
      <c r="Z8" s="46"/>
      <c r="AA8" s="46"/>
    </row>
    <row r="9" spans="2:27" x14ac:dyDescent="0.2">
      <c r="B9" s="46"/>
      <c r="C9" s="6" t="s">
        <v>80</v>
      </c>
      <c r="D9" s="7" t="s">
        <v>81</v>
      </c>
      <c r="E9" s="23">
        <v>3.5000000000000003E-2</v>
      </c>
      <c r="F9" s="23">
        <v>0.03</v>
      </c>
      <c r="G9" s="23">
        <v>2.75E-2</v>
      </c>
      <c r="H9" s="23">
        <v>2.5000000000000001E-2</v>
      </c>
      <c r="I9" s="23">
        <v>2.5000000000000001E-2</v>
      </c>
      <c r="J9" s="23">
        <v>2.5000000000000001E-2</v>
      </c>
      <c r="K9" s="23">
        <v>2.5000000000000001E-2</v>
      </c>
      <c r="L9" s="23">
        <v>2.5000000000000001E-2</v>
      </c>
      <c r="M9" s="23">
        <v>2.5000000000000001E-2</v>
      </c>
      <c r="N9" s="46"/>
      <c r="O9" s="27" t="s">
        <v>140</v>
      </c>
      <c r="P9" s="46"/>
      <c r="Q9" s="46"/>
      <c r="R9" s="46"/>
      <c r="S9" s="46"/>
      <c r="T9" s="46"/>
      <c r="U9" s="46"/>
      <c r="V9" s="46"/>
      <c r="W9" s="46"/>
      <c r="X9" s="46"/>
      <c r="Y9" s="46"/>
      <c r="Z9" s="46"/>
      <c r="AA9" s="46"/>
    </row>
    <row r="10" spans="2:27" x14ac:dyDescent="0.2">
      <c r="B10" s="46"/>
      <c r="C10" s="6" t="s">
        <v>141</v>
      </c>
      <c r="D10" s="7" t="s">
        <v>81</v>
      </c>
      <c r="E10" s="23">
        <v>1.4999999999999999E-2</v>
      </c>
      <c r="F10" s="23">
        <v>0.01</v>
      </c>
      <c r="G10" s="23">
        <v>2.5000000000000001E-3</v>
      </c>
      <c r="H10" s="23">
        <v>0</v>
      </c>
      <c r="I10" s="23">
        <v>0</v>
      </c>
      <c r="J10" s="23">
        <v>0</v>
      </c>
      <c r="K10" s="23">
        <v>0</v>
      </c>
      <c r="L10" s="23">
        <v>0</v>
      </c>
      <c r="M10" s="23">
        <v>0</v>
      </c>
      <c r="N10" s="46"/>
      <c r="O10" s="27" t="s">
        <v>142</v>
      </c>
      <c r="P10" s="46"/>
      <c r="Q10" s="46"/>
      <c r="R10" s="46"/>
      <c r="S10" s="46"/>
      <c r="T10" s="46"/>
      <c r="U10" s="46"/>
      <c r="V10" s="46"/>
      <c r="W10" s="46"/>
      <c r="X10" s="46"/>
      <c r="Y10" s="46"/>
      <c r="Z10" s="46"/>
      <c r="AA10" s="46"/>
    </row>
    <row r="11" spans="2:27" x14ac:dyDescent="0.2">
      <c r="B11" s="46"/>
      <c r="C11" s="6" t="s">
        <v>82</v>
      </c>
      <c r="D11" s="7" t="s">
        <v>81</v>
      </c>
      <c r="E11" s="23">
        <v>0.21</v>
      </c>
      <c r="F11" s="23">
        <v>0.21</v>
      </c>
      <c r="G11" s="23">
        <v>0.21099999999999999</v>
      </c>
      <c r="H11" s="23">
        <v>0.21099999999999999</v>
      </c>
      <c r="I11" s="23">
        <v>0.21199999999999999</v>
      </c>
      <c r="J11" s="23">
        <v>0.21199999999999999</v>
      </c>
      <c r="K11" s="23">
        <v>0.21199999999999999</v>
      </c>
      <c r="L11" s="23">
        <v>0.21199999999999999</v>
      </c>
      <c r="M11" s="23">
        <v>0.21199999999999999</v>
      </c>
      <c r="N11" s="46"/>
      <c r="O11" s="27" t="s">
        <v>143</v>
      </c>
      <c r="P11" s="46"/>
      <c r="Q11" s="46"/>
      <c r="R11" s="46"/>
      <c r="S11" s="46"/>
      <c r="T11" s="46"/>
      <c r="U11" s="46"/>
      <c r="V11" s="46"/>
      <c r="W11" s="46"/>
      <c r="X11" s="46"/>
      <c r="Y11" s="46"/>
      <c r="Z11" s="46"/>
      <c r="AA11" s="46"/>
    </row>
    <row r="12" spans="2:27" x14ac:dyDescent="0.2">
      <c r="B12" s="46"/>
      <c r="C12" s="6" t="s">
        <v>144</v>
      </c>
      <c r="D12" s="7" t="s">
        <v>81</v>
      </c>
      <c r="E12" s="24">
        <v>1.95E-2</v>
      </c>
      <c r="F12" s="24">
        <v>1.95E-2</v>
      </c>
      <c r="G12" s="24">
        <v>1.9199999999999998E-2</v>
      </c>
      <c r="H12" s="24">
        <v>1.9E-2</v>
      </c>
      <c r="I12" s="24">
        <v>1.9E-2</v>
      </c>
      <c r="J12" s="24">
        <v>1.9E-2</v>
      </c>
      <c r="K12" s="24">
        <v>1.9E-2</v>
      </c>
      <c r="L12" s="24">
        <v>1.9E-2</v>
      </c>
      <c r="M12" s="24">
        <v>1.9E-2</v>
      </c>
      <c r="N12" s="46"/>
      <c r="O12" s="27" t="s">
        <v>145</v>
      </c>
      <c r="P12" s="46"/>
      <c r="Q12" s="46"/>
      <c r="R12" s="46"/>
      <c r="S12" s="46"/>
      <c r="T12" s="46"/>
      <c r="U12" s="46"/>
      <c r="V12" s="46"/>
      <c r="W12" s="46"/>
      <c r="X12" s="46"/>
      <c r="Y12" s="46"/>
      <c r="Z12" s="46"/>
      <c r="AA12" s="46"/>
    </row>
    <row r="13" spans="2:27" x14ac:dyDescent="0.2">
      <c r="B13" s="46"/>
      <c r="C13" s="20" t="s">
        <v>146</v>
      </c>
      <c r="D13" s="54"/>
      <c r="E13" s="54"/>
      <c r="F13" s="54"/>
      <c r="G13" s="54"/>
      <c r="H13" s="54"/>
      <c r="I13" s="54"/>
      <c r="J13" s="54"/>
      <c r="K13" s="54"/>
      <c r="L13" s="54"/>
      <c r="M13" s="54"/>
      <c r="N13" s="46"/>
      <c r="O13" s="46"/>
      <c r="P13" s="46"/>
      <c r="Q13" s="46"/>
      <c r="R13" s="46"/>
      <c r="S13" s="46"/>
      <c r="T13" s="46"/>
      <c r="U13" s="46"/>
      <c r="V13" s="46"/>
      <c r="W13" s="46"/>
      <c r="X13" s="46"/>
      <c r="Y13" s="46"/>
      <c r="Z13" s="46"/>
      <c r="AA13" s="46"/>
    </row>
    <row r="14" spans="2:27" x14ac:dyDescent="0.2">
      <c r="B14" s="46"/>
      <c r="C14" s="6" t="s">
        <v>4</v>
      </c>
      <c r="D14" s="7" t="s">
        <v>79</v>
      </c>
      <c r="E14" s="22">
        <v>15</v>
      </c>
      <c r="F14" s="22">
        <v>10</v>
      </c>
      <c r="G14" s="22">
        <v>13</v>
      </c>
      <c r="H14" s="22">
        <v>16</v>
      </c>
      <c r="I14" s="22">
        <v>16</v>
      </c>
      <c r="J14" s="22">
        <v>10</v>
      </c>
      <c r="K14" s="22">
        <v>7</v>
      </c>
      <c r="L14" s="22">
        <v>5</v>
      </c>
      <c r="M14" s="22">
        <v>3</v>
      </c>
      <c r="N14" s="46"/>
      <c r="O14" s="27" t="s">
        <v>147</v>
      </c>
      <c r="P14" s="46"/>
      <c r="Q14" s="46"/>
      <c r="R14" s="46"/>
      <c r="S14" s="46"/>
      <c r="T14" s="46"/>
      <c r="U14" s="46"/>
      <c r="V14" s="46"/>
      <c r="W14" s="46"/>
      <c r="X14" s="46"/>
      <c r="Y14" s="46"/>
      <c r="Z14" s="46"/>
      <c r="AA14" s="46"/>
    </row>
    <row r="15" spans="2:27" x14ac:dyDescent="0.2">
      <c r="B15" s="46"/>
      <c r="C15" s="6" t="s">
        <v>148</v>
      </c>
      <c r="D15" s="7" t="s">
        <v>79</v>
      </c>
      <c r="E15" s="22">
        <v>8</v>
      </c>
      <c r="F15" s="22">
        <v>0</v>
      </c>
      <c r="G15" s="22">
        <v>0</v>
      </c>
      <c r="H15" s="22">
        <v>0</v>
      </c>
      <c r="I15" s="22">
        <v>0</v>
      </c>
      <c r="J15" s="22">
        <v>0</v>
      </c>
      <c r="K15" s="22">
        <v>0</v>
      </c>
      <c r="L15" s="22">
        <v>0</v>
      </c>
      <c r="M15" s="22">
        <v>0</v>
      </c>
      <c r="N15" s="46"/>
      <c r="O15" s="27" t="s">
        <v>149</v>
      </c>
      <c r="P15" s="46"/>
      <c r="Q15" s="46"/>
      <c r="R15" s="46"/>
      <c r="S15" s="46"/>
      <c r="T15" s="46"/>
      <c r="U15" s="46"/>
      <c r="V15" s="46"/>
      <c r="W15" s="46"/>
      <c r="X15" s="46"/>
      <c r="Y15" s="46"/>
      <c r="Z15" s="46"/>
      <c r="AA15" s="46"/>
    </row>
    <row r="16" spans="2:27" x14ac:dyDescent="0.2">
      <c r="B16" s="46"/>
      <c r="C16" s="6" t="s">
        <v>80</v>
      </c>
      <c r="D16" s="7" t="s">
        <v>81</v>
      </c>
      <c r="E16" s="23">
        <v>-0.02</v>
      </c>
      <c r="F16" s="23">
        <v>0.02</v>
      </c>
      <c r="G16" s="23">
        <v>2.5000000000000001E-2</v>
      </c>
      <c r="H16" s="23">
        <v>2.5000000000000001E-2</v>
      </c>
      <c r="I16" s="23">
        <v>2.5000000000000001E-2</v>
      </c>
      <c r="J16" s="23">
        <v>2.5000000000000001E-2</v>
      </c>
      <c r="K16" s="23">
        <v>2.5000000000000001E-2</v>
      </c>
      <c r="L16" s="23">
        <v>2.5000000000000001E-2</v>
      </c>
      <c r="M16" s="23">
        <v>2.5000000000000001E-2</v>
      </c>
      <c r="N16" s="46"/>
      <c r="O16" s="27" t="s">
        <v>150</v>
      </c>
      <c r="P16" s="46"/>
      <c r="Q16" s="46"/>
      <c r="R16" s="46"/>
      <c r="S16" s="46"/>
      <c r="T16" s="46"/>
      <c r="U16" s="46"/>
      <c r="V16" s="46"/>
      <c r="W16" s="46"/>
      <c r="X16" s="46"/>
      <c r="Y16" s="46"/>
      <c r="Z16" s="46"/>
      <c r="AA16" s="46"/>
    </row>
    <row r="17" spans="2:27" x14ac:dyDescent="0.2">
      <c r="B17" s="46"/>
      <c r="C17" s="20" t="s">
        <v>151</v>
      </c>
      <c r="D17" s="54"/>
      <c r="E17" s="54"/>
      <c r="F17" s="54"/>
      <c r="G17" s="54"/>
      <c r="H17" s="54"/>
      <c r="I17" s="54"/>
      <c r="J17" s="54"/>
      <c r="K17" s="54"/>
      <c r="L17" s="54"/>
      <c r="M17" s="54"/>
      <c r="N17" s="46"/>
      <c r="O17" s="46"/>
      <c r="P17" s="46"/>
      <c r="Q17" s="46"/>
      <c r="R17" s="46"/>
      <c r="S17" s="46"/>
      <c r="T17" s="46"/>
      <c r="U17" s="46"/>
      <c r="V17" s="46"/>
      <c r="W17" s="46"/>
      <c r="X17" s="46"/>
      <c r="Y17" s="46"/>
      <c r="Z17" s="46"/>
      <c r="AA17" s="46"/>
    </row>
    <row r="18" spans="2:27" x14ac:dyDescent="0.2">
      <c r="B18" s="46"/>
      <c r="C18" s="6" t="s">
        <v>4</v>
      </c>
      <c r="D18" s="7" t="s">
        <v>79</v>
      </c>
      <c r="E18" s="22">
        <v>1</v>
      </c>
      <c r="F18" s="22">
        <v>1</v>
      </c>
      <c r="G18" s="22">
        <v>1</v>
      </c>
      <c r="H18" s="22">
        <v>1</v>
      </c>
      <c r="I18" s="22">
        <v>1</v>
      </c>
      <c r="J18" s="22">
        <v>1</v>
      </c>
      <c r="K18" s="22">
        <v>1</v>
      </c>
      <c r="L18" s="22">
        <v>0</v>
      </c>
      <c r="M18" s="22">
        <v>0</v>
      </c>
      <c r="N18" s="46"/>
      <c r="O18" s="27" t="s">
        <v>152</v>
      </c>
      <c r="P18" s="46"/>
      <c r="Q18" s="46"/>
      <c r="R18" s="46"/>
      <c r="S18" s="46"/>
      <c r="T18" s="46"/>
      <c r="U18" s="46"/>
      <c r="V18" s="46"/>
      <c r="W18" s="46"/>
      <c r="X18" s="46"/>
      <c r="Y18" s="46"/>
      <c r="Z18" s="46"/>
      <c r="AA18" s="46"/>
    </row>
    <row r="19" spans="2:27" x14ac:dyDescent="0.2">
      <c r="B19" s="46"/>
      <c r="C19" s="6" t="s">
        <v>80</v>
      </c>
      <c r="D19" s="7" t="s">
        <v>81</v>
      </c>
      <c r="E19" s="23">
        <v>-0.03</v>
      </c>
      <c r="F19" s="23">
        <v>0.01</v>
      </c>
      <c r="G19" s="23">
        <v>1.4999999999999999E-2</v>
      </c>
      <c r="H19" s="23">
        <v>0.02</v>
      </c>
      <c r="I19" s="23">
        <v>0.02</v>
      </c>
      <c r="J19" s="23">
        <v>0.02</v>
      </c>
      <c r="K19" s="23">
        <v>0.02</v>
      </c>
      <c r="L19" s="23">
        <v>0.02</v>
      </c>
      <c r="M19" s="23">
        <v>0.02</v>
      </c>
      <c r="N19" s="46"/>
      <c r="O19" s="27" t="s">
        <v>153</v>
      </c>
      <c r="P19" s="46"/>
      <c r="Q19" s="46"/>
      <c r="R19" s="46"/>
      <c r="S19" s="46"/>
      <c r="T19" s="46"/>
      <c r="U19" s="46"/>
      <c r="V19" s="46"/>
      <c r="W19" s="46"/>
      <c r="X19" s="46"/>
      <c r="Y19" s="46"/>
      <c r="Z19" s="46"/>
      <c r="AA19" s="46"/>
    </row>
    <row r="20" spans="2:27" x14ac:dyDescent="0.2">
      <c r="B20" s="46"/>
      <c r="C20" s="20" t="s">
        <v>154</v>
      </c>
      <c r="D20" s="54"/>
      <c r="E20" s="54"/>
      <c r="F20" s="54"/>
      <c r="G20" s="54"/>
      <c r="H20" s="54"/>
      <c r="I20" s="54"/>
      <c r="J20" s="54"/>
      <c r="K20" s="54"/>
      <c r="L20" s="54"/>
      <c r="M20" s="54"/>
      <c r="N20" s="46"/>
      <c r="O20" s="46"/>
      <c r="P20" s="46"/>
      <c r="Q20" s="46"/>
      <c r="R20" s="46"/>
      <c r="S20" s="46"/>
      <c r="T20" s="46"/>
      <c r="U20" s="46"/>
      <c r="V20" s="46"/>
      <c r="W20" s="46"/>
      <c r="X20" s="46"/>
      <c r="Y20" s="46"/>
      <c r="Z20" s="46"/>
      <c r="AA20" s="46"/>
    </row>
    <row r="21" spans="2:27" x14ac:dyDescent="0.2">
      <c r="B21" s="46"/>
      <c r="C21" s="6" t="s">
        <v>82</v>
      </c>
      <c r="D21" s="7" t="s">
        <v>81</v>
      </c>
      <c r="E21" s="23">
        <v>0.19</v>
      </c>
      <c r="F21" s="23">
        <v>0.193</v>
      </c>
      <c r="G21" s="23">
        <v>0.19500000000000001</v>
      </c>
      <c r="H21" s="23">
        <v>0.19800000000000001</v>
      </c>
      <c r="I21" s="23">
        <v>0.2</v>
      </c>
      <c r="J21" s="23">
        <v>0.20100000000000001</v>
      </c>
      <c r="K21" s="23">
        <v>0.20200000000000001</v>
      </c>
      <c r="L21" s="23">
        <v>0.20200000000000001</v>
      </c>
      <c r="M21" s="23">
        <v>0.20200000000000001</v>
      </c>
      <c r="N21" s="46"/>
      <c r="O21" s="27" t="s">
        <v>155</v>
      </c>
      <c r="P21" s="46"/>
      <c r="Q21" s="46"/>
      <c r="R21" s="46"/>
      <c r="S21" s="46"/>
      <c r="T21" s="46"/>
      <c r="U21" s="46"/>
      <c r="V21" s="46"/>
      <c r="W21" s="46"/>
      <c r="X21" s="46"/>
      <c r="Y21" s="46"/>
      <c r="Z21" s="46"/>
      <c r="AA21" s="46"/>
    </row>
    <row r="22" spans="2:27" x14ac:dyDescent="0.2">
      <c r="B22" s="46"/>
      <c r="C22" s="6" t="s">
        <v>144</v>
      </c>
      <c r="D22" s="7" t="s">
        <v>81</v>
      </c>
      <c r="E22" s="24">
        <v>6.9000000000000006E-2</v>
      </c>
      <c r="F22" s="24">
        <v>6.7000000000000004E-2</v>
      </c>
      <c r="G22" s="24">
        <v>6.5000000000000002E-2</v>
      </c>
      <c r="H22" s="24">
        <v>6.3E-2</v>
      </c>
      <c r="I22" s="24">
        <v>6.2E-2</v>
      </c>
      <c r="J22" s="24">
        <v>0.06</v>
      </c>
      <c r="K22" s="24">
        <v>5.8000000000000003E-2</v>
      </c>
      <c r="L22" s="24">
        <v>5.7000000000000002E-2</v>
      </c>
      <c r="M22" s="24">
        <v>5.6000000000000001E-2</v>
      </c>
      <c r="N22" s="46"/>
      <c r="O22" s="27" t="s">
        <v>156</v>
      </c>
      <c r="P22" s="46"/>
      <c r="Q22" s="46"/>
      <c r="R22" s="46"/>
      <c r="S22" s="46"/>
      <c r="T22" s="46"/>
      <c r="U22" s="46"/>
      <c r="V22" s="46"/>
      <c r="W22" s="46"/>
      <c r="X22" s="46"/>
      <c r="Y22" s="46"/>
      <c r="Z22" s="46"/>
      <c r="AA22" s="46"/>
    </row>
    <row r="23" spans="2:27" x14ac:dyDescent="0.2">
      <c r="B23" s="46"/>
      <c r="C23" s="20" t="s">
        <v>157</v>
      </c>
      <c r="D23" s="54"/>
      <c r="E23" s="54"/>
      <c r="F23" s="54"/>
      <c r="G23" s="54"/>
      <c r="H23" s="54"/>
      <c r="I23" s="54"/>
      <c r="J23" s="54"/>
      <c r="K23" s="54"/>
      <c r="L23" s="54"/>
      <c r="M23" s="54"/>
      <c r="N23" s="46"/>
      <c r="O23" s="46"/>
      <c r="P23" s="46"/>
      <c r="Q23" s="46"/>
      <c r="R23" s="46"/>
      <c r="S23" s="46"/>
      <c r="T23" s="46"/>
      <c r="U23" s="46"/>
      <c r="V23" s="46"/>
      <c r="W23" s="46"/>
      <c r="X23" s="46"/>
      <c r="Y23" s="46"/>
      <c r="Z23" s="46"/>
      <c r="AA23" s="46"/>
    </row>
    <row r="24" spans="2:27" x14ac:dyDescent="0.2">
      <c r="B24" s="46"/>
      <c r="C24" s="6" t="s">
        <v>158</v>
      </c>
      <c r="D24" s="7" t="s">
        <v>81</v>
      </c>
      <c r="E24" s="24">
        <v>2.35E-2</v>
      </c>
      <c r="F24" s="24">
        <v>2.35E-2</v>
      </c>
      <c r="G24" s="24">
        <v>2.3300000000000001E-2</v>
      </c>
      <c r="H24" s="24">
        <v>2.3E-2</v>
      </c>
      <c r="I24" s="24">
        <v>2.3E-2</v>
      </c>
      <c r="J24" s="24">
        <v>2.2800000000000001E-2</v>
      </c>
      <c r="K24" s="24">
        <v>2.2599999999999999E-2</v>
      </c>
      <c r="L24" s="24">
        <v>2.2499999999999999E-2</v>
      </c>
      <c r="M24" s="24">
        <v>2.2499999999999999E-2</v>
      </c>
      <c r="N24" s="46"/>
      <c r="O24" s="27" t="s">
        <v>159</v>
      </c>
      <c r="P24" s="46"/>
      <c r="Q24" s="46"/>
      <c r="R24" s="46"/>
      <c r="S24" s="46"/>
      <c r="T24" s="46"/>
      <c r="U24" s="46"/>
      <c r="V24" s="46"/>
      <c r="W24" s="46"/>
      <c r="X24" s="46"/>
      <c r="Y24" s="46"/>
      <c r="Z24" s="46"/>
      <c r="AA24" s="46"/>
    </row>
    <row r="25" spans="2:27" x14ac:dyDescent="0.2">
      <c r="B25" s="46"/>
      <c r="C25" s="6" t="s">
        <v>160</v>
      </c>
      <c r="D25" s="7" t="s">
        <v>81</v>
      </c>
      <c r="E25" s="24">
        <v>5.2600000000000001E-2</v>
      </c>
      <c r="F25" s="24">
        <v>5.2600000000000001E-2</v>
      </c>
      <c r="G25" s="24">
        <v>5.2600000000000001E-2</v>
      </c>
      <c r="H25" s="24">
        <v>5.2600000000000001E-2</v>
      </c>
      <c r="I25" s="24">
        <v>5.2600000000000001E-2</v>
      </c>
      <c r="J25" s="24">
        <v>5.2600000000000001E-2</v>
      </c>
      <c r="K25" s="24">
        <v>5.2600000000000001E-2</v>
      </c>
      <c r="L25" s="24">
        <v>5.2600000000000001E-2</v>
      </c>
      <c r="M25" s="24">
        <v>5.2600000000000001E-2</v>
      </c>
      <c r="N25" s="46"/>
      <c r="O25" s="27" t="s">
        <v>161</v>
      </c>
      <c r="P25" s="46"/>
      <c r="Q25" s="46"/>
      <c r="R25" s="46"/>
      <c r="S25" s="46"/>
      <c r="T25" s="46"/>
      <c r="U25" s="46"/>
      <c r="V25" s="46"/>
      <c r="W25" s="46"/>
      <c r="X25" s="46"/>
      <c r="Y25" s="46"/>
      <c r="Z25" s="46"/>
      <c r="AA25" s="46"/>
    </row>
    <row r="26" spans="2:27" x14ac:dyDescent="0.2">
      <c r="B26" s="46"/>
      <c r="C26" s="6" t="s">
        <v>162</v>
      </c>
      <c r="D26" s="7" t="s">
        <v>81</v>
      </c>
      <c r="E26" s="24">
        <v>1.9E-2</v>
      </c>
      <c r="F26" s="24">
        <v>2.1000000000000001E-2</v>
      </c>
      <c r="G26" s="24">
        <v>2.1999999999999999E-2</v>
      </c>
      <c r="H26" s="24">
        <v>2.1999999999999999E-2</v>
      </c>
      <c r="I26" s="24">
        <v>2.1999999999999999E-2</v>
      </c>
      <c r="J26" s="24">
        <v>2.1999999999999999E-2</v>
      </c>
      <c r="K26" s="24">
        <v>2.1999999999999999E-2</v>
      </c>
      <c r="L26" s="24">
        <v>2.1999999999999999E-2</v>
      </c>
      <c r="M26" s="24">
        <v>2.1999999999999999E-2</v>
      </c>
      <c r="N26" s="46"/>
      <c r="O26" s="27" t="s">
        <v>163</v>
      </c>
      <c r="P26" s="46"/>
      <c r="Q26" s="46"/>
      <c r="R26" s="46"/>
      <c r="S26" s="46"/>
      <c r="T26" s="46"/>
      <c r="U26" s="46"/>
      <c r="V26" s="46"/>
      <c r="W26" s="46"/>
      <c r="X26" s="46"/>
      <c r="Y26" s="46"/>
      <c r="Z26" s="46"/>
      <c r="AA26" s="46"/>
    </row>
    <row r="27" spans="2:27" x14ac:dyDescent="0.2">
      <c r="B27" s="46"/>
      <c r="C27" s="6" t="s">
        <v>164</v>
      </c>
      <c r="D27" s="7" t="s">
        <v>75</v>
      </c>
      <c r="E27" s="25">
        <v>35</v>
      </c>
      <c r="F27" s="25">
        <v>10</v>
      </c>
      <c r="G27" s="25">
        <v>0</v>
      </c>
      <c r="H27" s="25">
        <v>0</v>
      </c>
      <c r="I27" s="25">
        <v>0</v>
      </c>
      <c r="J27" s="25">
        <v>0</v>
      </c>
      <c r="K27" s="25">
        <v>0</v>
      </c>
      <c r="L27" s="25">
        <v>0</v>
      </c>
      <c r="M27" s="25">
        <v>0</v>
      </c>
      <c r="N27" s="46"/>
      <c r="O27" s="27" t="s">
        <v>165</v>
      </c>
      <c r="P27" s="46"/>
      <c r="Q27" s="46"/>
      <c r="R27" s="46"/>
      <c r="S27" s="46"/>
      <c r="T27" s="46"/>
      <c r="U27" s="46"/>
      <c r="V27" s="46"/>
      <c r="W27" s="46"/>
      <c r="X27" s="46"/>
      <c r="Y27" s="46"/>
      <c r="Z27" s="46"/>
      <c r="AA27" s="46"/>
    </row>
    <row r="28" spans="2:27" x14ac:dyDescent="0.2">
      <c r="B28" s="46"/>
      <c r="C28" s="6" t="s">
        <v>166</v>
      </c>
      <c r="D28" s="7" t="s">
        <v>167</v>
      </c>
      <c r="E28" s="25">
        <v>1.8</v>
      </c>
      <c r="F28" s="25">
        <v>1.85</v>
      </c>
      <c r="G28" s="25">
        <v>1.9</v>
      </c>
      <c r="H28" s="25">
        <v>1.95</v>
      </c>
      <c r="I28" s="25">
        <v>2</v>
      </c>
      <c r="J28" s="25">
        <v>2.0499999999999998</v>
      </c>
      <c r="K28" s="25">
        <v>2.1</v>
      </c>
      <c r="L28" s="25">
        <v>2.16</v>
      </c>
      <c r="M28" s="25">
        <v>2.21</v>
      </c>
      <c r="N28" s="46"/>
      <c r="O28" s="27" t="s">
        <v>168</v>
      </c>
      <c r="P28" s="46"/>
      <c r="Q28" s="46"/>
      <c r="R28" s="46"/>
      <c r="S28" s="46"/>
      <c r="T28" s="46"/>
      <c r="U28" s="46"/>
      <c r="V28" s="46"/>
      <c r="W28" s="46"/>
      <c r="X28" s="46"/>
      <c r="Y28" s="46"/>
      <c r="Z28" s="46"/>
      <c r="AA28" s="46"/>
    </row>
    <row r="29" spans="2:27" x14ac:dyDescent="0.2">
      <c r="B29" s="46"/>
      <c r="C29" s="6" t="s">
        <v>169</v>
      </c>
      <c r="D29" s="7" t="s">
        <v>167</v>
      </c>
      <c r="E29" s="25">
        <v>2.2000000000000002</v>
      </c>
      <c r="F29" s="25">
        <v>2.25</v>
      </c>
      <c r="G29" s="25">
        <v>2.2999999999999998</v>
      </c>
      <c r="H29" s="25">
        <v>2.35</v>
      </c>
      <c r="I29" s="25">
        <v>2.4</v>
      </c>
      <c r="J29" s="25">
        <v>2.46</v>
      </c>
      <c r="K29" s="25">
        <v>2.52</v>
      </c>
      <c r="L29" s="25">
        <v>2.58</v>
      </c>
      <c r="M29" s="25">
        <v>2.65</v>
      </c>
      <c r="N29" s="46"/>
      <c r="O29" s="27" t="s">
        <v>170</v>
      </c>
      <c r="P29" s="46"/>
      <c r="Q29" s="46"/>
      <c r="R29" s="46"/>
      <c r="S29" s="46"/>
      <c r="T29" s="46"/>
      <c r="U29" s="46"/>
      <c r="V29" s="46"/>
      <c r="W29" s="46"/>
      <c r="X29" s="46"/>
      <c r="Y29" s="46"/>
      <c r="Z29" s="46"/>
      <c r="AA29" s="46"/>
    </row>
    <row r="30" spans="2:27" x14ac:dyDescent="0.2">
      <c r="B30" s="46"/>
      <c r="C30" s="6" t="s">
        <v>171</v>
      </c>
      <c r="D30" s="7" t="s">
        <v>167</v>
      </c>
      <c r="E30" s="25">
        <v>2</v>
      </c>
      <c r="F30" s="25">
        <v>2.0499999999999998</v>
      </c>
      <c r="G30" s="25">
        <v>2.1</v>
      </c>
      <c r="H30" s="25">
        <v>2.15</v>
      </c>
      <c r="I30" s="25">
        <v>2.2000000000000002</v>
      </c>
      <c r="J30" s="25">
        <v>2.2599999999999998</v>
      </c>
      <c r="K30" s="25">
        <v>2.31</v>
      </c>
      <c r="L30" s="25">
        <v>2.37</v>
      </c>
      <c r="M30" s="25">
        <v>2.4300000000000002</v>
      </c>
      <c r="N30" s="46"/>
      <c r="O30" s="27" t="s">
        <v>172</v>
      </c>
      <c r="P30" s="46"/>
      <c r="Q30" s="46"/>
      <c r="R30" s="46"/>
      <c r="S30" s="46"/>
      <c r="T30" s="46"/>
      <c r="U30" s="46"/>
      <c r="V30" s="46"/>
      <c r="W30" s="46"/>
      <c r="X30" s="46"/>
      <c r="Y30" s="46"/>
      <c r="Z30" s="46"/>
      <c r="AA30" s="46"/>
    </row>
    <row r="31" spans="2:27" x14ac:dyDescent="0.2">
      <c r="B31" s="46"/>
      <c r="C31" s="6" t="s">
        <v>173</v>
      </c>
      <c r="D31" s="7" t="s">
        <v>81</v>
      </c>
      <c r="E31" s="24">
        <v>-0.06</v>
      </c>
      <c r="F31" s="24">
        <v>-0.06</v>
      </c>
      <c r="G31" s="24">
        <v>-0.06</v>
      </c>
      <c r="H31" s="24">
        <v>-0.06</v>
      </c>
      <c r="I31" s="24">
        <v>-0.06</v>
      </c>
      <c r="J31" s="24">
        <v>-0.06</v>
      </c>
      <c r="K31" s="24">
        <v>-0.06</v>
      </c>
      <c r="L31" s="24">
        <v>-0.06</v>
      </c>
      <c r="M31" s="24">
        <v>-0.06</v>
      </c>
      <c r="N31" s="46"/>
      <c r="O31" s="27" t="s">
        <v>174</v>
      </c>
      <c r="P31" s="46"/>
      <c r="Q31" s="46"/>
      <c r="R31" s="46"/>
      <c r="S31" s="46"/>
      <c r="T31" s="46"/>
      <c r="U31" s="46"/>
      <c r="V31" s="46"/>
      <c r="W31" s="46"/>
      <c r="X31" s="46"/>
      <c r="Y31" s="46"/>
      <c r="Z31" s="46"/>
      <c r="AA31" s="46"/>
    </row>
    <row r="32" spans="2:27" x14ac:dyDescent="0.2">
      <c r="B32" s="46"/>
      <c r="C32" s="6" t="s">
        <v>175</v>
      </c>
      <c r="D32" s="7" t="s">
        <v>81</v>
      </c>
      <c r="E32" s="23">
        <v>0.3</v>
      </c>
      <c r="F32" s="23">
        <v>0.3</v>
      </c>
      <c r="G32" s="23">
        <v>0.3</v>
      </c>
      <c r="H32" s="23">
        <v>0.3</v>
      </c>
      <c r="I32" s="23">
        <v>0.3</v>
      </c>
      <c r="J32" s="23">
        <v>0.3</v>
      </c>
      <c r="K32" s="23">
        <v>0.3</v>
      </c>
      <c r="L32" s="23">
        <v>0.3</v>
      </c>
      <c r="M32" s="23">
        <v>0.3</v>
      </c>
      <c r="N32" s="46"/>
      <c r="O32" s="27" t="s">
        <v>176</v>
      </c>
      <c r="P32" s="46"/>
      <c r="Q32" s="46"/>
      <c r="R32" s="46"/>
      <c r="S32" s="46"/>
      <c r="T32" s="46"/>
      <c r="U32" s="46"/>
      <c r="V32" s="46"/>
      <c r="W32" s="46"/>
      <c r="X32" s="46"/>
      <c r="Y32" s="46"/>
      <c r="Z32" s="46"/>
      <c r="AA32" s="46"/>
    </row>
    <row r="33" spans="2:27" x14ac:dyDescent="0.2">
      <c r="B33" s="46"/>
      <c r="C33" s="20" t="s">
        <v>177</v>
      </c>
      <c r="D33" s="54"/>
      <c r="E33" s="54"/>
      <c r="F33" s="54"/>
      <c r="G33" s="54"/>
      <c r="H33" s="54"/>
      <c r="I33" s="54"/>
      <c r="J33" s="54"/>
      <c r="K33" s="54"/>
      <c r="L33" s="54"/>
      <c r="M33" s="54"/>
      <c r="N33" s="46"/>
      <c r="O33" s="46"/>
      <c r="P33" s="46"/>
      <c r="Q33" s="46"/>
      <c r="R33" s="46"/>
      <c r="S33" s="46"/>
      <c r="T33" s="46"/>
      <c r="U33" s="46"/>
      <c r="V33" s="46"/>
      <c r="W33" s="46"/>
      <c r="X33" s="46"/>
      <c r="Y33" s="46"/>
      <c r="Z33" s="46"/>
      <c r="AA33" s="46"/>
    </row>
    <row r="34" spans="2:27" x14ac:dyDescent="0.2">
      <c r="B34" s="46"/>
      <c r="C34" s="6" t="s">
        <v>178</v>
      </c>
      <c r="D34" s="7" t="s">
        <v>81</v>
      </c>
      <c r="E34" s="23">
        <v>2.5000000000000001E-2</v>
      </c>
      <c r="F34" s="46"/>
      <c r="G34" s="46"/>
      <c r="H34" s="46"/>
      <c r="I34" s="46"/>
      <c r="J34" s="46"/>
      <c r="K34" s="46"/>
      <c r="L34" s="46"/>
      <c r="M34" s="46"/>
      <c r="N34" s="46"/>
      <c r="O34" s="27" t="s">
        <v>179</v>
      </c>
      <c r="P34" s="46"/>
      <c r="Q34" s="46"/>
      <c r="R34" s="46"/>
      <c r="S34" s="46"/>
      <c r="T34" s="46"/>
      <c r="U34" s="46"/>
      <c r="V34" s="46"/>
      <c r="W34" s="46"/>
      <c r="X34" s="46"/>
      <c r="Y34" s="46"/>
      <c r="Z34" s="46"/>
      <c r="AA34" s="46"/>
    </row>
    <row r="35" spans="2:27" x14ac:dyDescent="0.2">
      <c r="B35" s="46"/>
      <c r="C35" s="6" t="s">
        <v>180</v>
      </c>
      <c r="D35" s="7" t="s">
        <v>106</v>
      </c>
      <c r="E35" s="26">
        <v>7</v>
      </c>
      <c r="F35" s="46"/>
      <c r="G35" s="46"/>
      <c r="H35" s="46"/>
      <c r="I35" s="46"/>
      <c r="J35" s="46"/>
      <c r="K35" s="46"/>
      <c r="L35" s="46"/>
      <c r="M35" s="46"/>
      <c r="N35" s="46"/>
      <c r="O35" s="27" t="s">
        <v>181</v>
      </c>
      <c r="P35" s="46"/>
      <c r="Q35" s="46"/>
      <c r="R35" s="46"/>
      <c r="S35" s="46"/>
      <c r="T35" s="46"/>
      <c r="U35" s="46"/>
      <c r="V35" s="46"/>
      <c r="W35" s="46"/>
      <c r="X35" s="46"/>
      <c r="Y35" s="46"/>
      <c r="Z35" s="46"/>
      <c r="AA35" s="46"/>
    </row>
    <row r="36" spans="2:27" x14ac:dyDescent="0.2">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row>
    <row r="37" spans="2:27" x14ac:dyDescent="0.2">
      <c r="B37" s="46"/>
      <c r="P37" s="46"/>
      <c r="Q37" s="46"/>
      <c r="R37" s="46"/>
      <c r="S37" s="46"/>
      <c r="T37" s="46"/>
      <c r="U37" s="46"/>
      <c r="V37" s="46"/>
      <c r="W37" s="46"/>
      <c r="X37" s="46"/>
      <c r="Y37" s="46"/>
      <c r="Z37" s="46"/>
      <c r="AA37" s="46"/>
    </row>
    <row r="38" spans="2:27" x14ac:dyDescent="0.2">
      <c r="C38" s="16" t="s">
        <v>256</v>
      </c>
      <c r="D38" s="16"/>
      <c r="E38" s="16"/>
      <c r="F38" s="16"/>
      <c r="G38" s="16"/>
      <c r="H38" s="16"/>
      <c r="I38" s="16"/>
      <c r="J38" s="16"/>
      <c r="K38" s="16"/>
      <c r="L38" s="16"/>
      <c r="M38" s="16"/>
      <c r="N38" s="16"/>
      <c r="O38" s="16"/>
    </row>
    <row r="39" spans="2:27" x14ac:dyDescent="0.2">
      <c r="C39" s="17" t="s">
        <v>131</v>
      </c>
      <c r="D39" s="18" t="s">
        <v>59</v>
      </c>
      <c r="E39" s="19" t="s">
        <v>132</v>
      </c>
      <c r="F39" s="19" t="s">
        <v>133</v>
      </c>
      <c r="G39" s="19" t="s">
        <v>134</v>
      </c>
      <c r="H39" s="19" t="s">
        <v>135</v>
      </c>
      <c r="I39" s="19" t="s">
        <v>136</v>
      </c>
      <c r="J39" s="19" t="s">
        <v>298</v>
      </c>
      <c r="K39" s="19" t="s">
        <v>299</v>
      </c>
      <c r="L39" s="19" t="s">
        <v>300</v>
      </c>
      <c r="M39" s="19" t="s">
        <v>301</v>
      </c>
      <c r="O39" s="17" t="s">
        <v>137</v>
      </c>
    </row>
    <row r="40" spans="2:27" x14ac:dyDescent="0.2">
      <c r="C40" s="20" t="s">
        <v>138</v>
      </c>
      <c r="D40" s="21"/>
      <c r="E40" s="21"/>
      <c r="F40" s="21"/>
      <c r="G40" s="21"/>
      <c r="H40" s="21"/>
      <c r="I40" s="21"/>
      <c r="J40" s="21"/>
      <c r="K40" s="21"/>
      <c r="L40" s="21"/>
      <c r="M40" s="21"/>
      <c r="N40" s="46"/>
      <c r="O40" s="46"/>
      <c r="P40" s="46"/>
    </row>
    <row r="41" spans="2:27" x14ac:dyDescent="0.2">
      <c r="C41" s="6" t="s">
        <v>4</v>
      </c>
      <c r="D41" s="7" t="s">
        <v>79</v>
      </c>
      <c r="E41" s="22">
        <v>10</v>
      </c>
      <c r="F41" s="22">
        <v>10</v>
      </c>
      <c r="G41" s="22">
        <v>10</v>
      </c>
      <c r="H41" s="22">
        <v>10</v>
      </c>
      <c r="I41" s="22">
        <v>10</v>
      </c>
      <c r="J41" s="22">
        <v>9</v>
      </c>
      <c r="K41" s="22">
        <v>8</v>
      </c>
      <c r="L41" s="22">
        <v>7</v>
      </c>
      <c r="M41" s="22">
        <v>6</v>
      </c>
    </row>
    <row r="42" spans="2:27" x14ac:dyDescent="0.2">
      <c r="C42" s="6" t="s">
        <v>80</v>
      </c>
      <c r="D42" s="7" t="s">
        <v>81</v>
      </c>
      <c r="E42" s="23">
        <v>0.04</v>
      </c>
      <c r="F42" s="23">
        <v>3.5000000000000003E-2</v>
      </c>
      <c r="G42" s="23">
        <v>3.2500000000000001E-2</v>
      </c>
      <c r="H42" s="23">
        <v>0.03</v>
      </c>
      <c r="I42" s="23">
        <v>0.03</v>
      </c>
      <c r="J42" s="23">
        <v>0.03</v>
      </c>
      <c r="K42" s="23">
        <v>0.03</v>
      </c>
      <c r="L42" s="23">
        <v>2.8000000000000001E-2</v>
      </c>
      <c r="M42" s="23">
        <v>2.8000000000000001E-2</v>
      </c>
    </row>
    <row r="43" spans="2:27" x14ac:dyDescent="0.2">
      <c r="C43" s="6" t="s">
        <v>141</v>
      </c>
      <c r="D43" s="7" t="s">
        <v>81</v>
      </c>
      <c r="E43" s="23">
        <v>2.5000000000000001E-2</v>
      </c>
      <c r="F43" s="23">
        <v>1.4999999999999999E-2</v>
      </c>
      <c r="G43" s="23">
        <v>5.0000000000000001E-3</v>
      </c>
      <c r="H43" s="23">
        <v>0</v>
      </c>
      <c r="I43" s="23">
        <v>0</v>
      </c>
      <c r="J43" s="23">
        <v>0</v>
      </c>
      <c r="K43" s="23">
        <v>0</v>
      </c>
      <c r="L43" s="23">
        <v>0</v>
      </c>
      <c r="M43" s="23">
        <v>0</v>
      </c>
    </row>
    <row r="44" spans="2:27" x14ac:dyDescent="0.2">
      <c r="C44" s="6" t="s">
        <v>82</v>
      </c>
      <c r="D44" s="7" t="s">
        <v>81</v>
      </c>
      <c r="E44" s="23">
        <v>0.21299999999999999</v>
      </c>
      <c r="F44" s="23">
        <v>0.215</v>
      </c>
      <c r="G44" s="23">
        <v>0.216</v>
      </c>
      <c r="H44" s="23">
        <v>0.217</v>
      </c>
      <c r="I44" s="23">
        <v>0.218</v>
      </c>
      <c r="J44" s="23">
        <v>0.218</v>
      </c>
      <c r="K44" s="23">
        <v>0.218</v>
      </c>
      <c r="L44" s="23">
        <v>0.218</v>
      </c>
      <c r="M44" s="23">
        <v>0.218</v>
      </c>
    </row>
    <row r="45" spans="2:27" x14ac:dyDescent="0.2">
      <c r="C45" s="6" t="s">
        <v>144</v>
      </c>
      <c r="D45" s="7" t="s">
        <v>81</v>
      </c>
      <c r="E45" s="24">
        <v>1.9199999999999998E-2</v>
      </c>
      <c r="F45" s="24">
        <v>1.9E-2</v>
      </c>
      <c r="G45" s="24">
        <v>1.8800000000000001E-2</v>
      </c>
      <c r="H45" s="24">
        <v>1.8499999999999999E-2</v>
      </c>
      <c r="I45" s="24">
        <v>1.8499999999999999E-2</v>
      </c>
      <c r="J45" s="24">
        <v>1.8499999999999999E-2</v>
      </c>
      <c r="K45" s="24">
        <v>1.8499999999999999E-2</v>
      </c>
      <c r="L45" s="24">
        <v>1.8499999999999999E-2</v>
      </c>
      <c r="M45" s="24">
        <v>1.8499999999999999E-2</v>
      </c>
    </row>
    <row r="46" spans="2:27" x14ac:dyDescent="0.2">
      <c r="C46" s="20" t="s">
        <v>146</v>
      </c>
      <c r="D46" s="21"/>
      <c r="E46" s="21"/>
      <c r="F46" s="21"/>
      <c r="G46" s="21"/>
      <c r="H46" s="21"/>
      <c r="I46" s="21"/>
      <c r="J46" s="21"/>
      <c r="K46" s="21"/>
      <c r="L46" s="21"/>
      <c r="M46" s="21"/>
      <c r="N46" s="46"/>
      <c r="O46" s="46"/>
    </row>
    <row r="47" spans="2:27" x14ac:dyDescent="0.2">
      <c r="C47" s="6" t="s">
        <v>4</v>
      </c>
      <c r="D47" s="7" t="s">
        <v>79</v>
      </c>
      <c r="E47" s="22">
        <v>19</v>
      </c>
      <c r="F47" s="22">
        <v>22</v>
      </c>
      <c r="G47" s="22">
        <v>28</v>
      </c>
      <c r="H47" s="22">
        <v>29</v>
      </c>
      <c r="I47" s="22">
        <v>25</v>
      </c>
      <c r="J47" s="22">
        <v>20</v>
      </c>
      <c r="K47" s="22">
        <v>15</v>
      </c>
      <c r="L47" s="22">
        <v>10</v>
      </c>
      <c r="M47" s="22">
        <v>6</v>
      </c>
      <c r="N47" s="46"/>
      <c r="O47" s="46"/>
    </row>
    <row r="48" spans="2:27" x14ac:dyDescent="0.2">
      <c r="C48" s="6" t="s">
        <v>148</v>
      </c>
      <c r="D48" s="7" t="s">
        <v>79</v>
      </c>
      <c r="E48" s="22">
        <v>8</v>
      </c>
      <c r="F48" s="22">
        <v>0</v>
      </c>
      <c r="G48" s="22">
        <v>0</v>
      </c>
      <c r="H48" s="22">
        <v>0</v>
      </c>
      <c r="I48" s="22">
        <v>0</v>
      </c>
      <c r="J48" s="22">
        <v>0</v>
      </c>
      <c r="K48" s="22">
        <v>0</v>
      </c>
      <c r="L48" s="22">
        <v>0</v>
      </c>
      <c r="M48" s="22">
        <v>0</v>
      </c>
      <c r="N48" s="46"/>
      <c r="O48" s="46"/>
    </row>
    <row r="49" spans="3:15" x14ac:dyDescent="0.2">
      <c r="C49" s="6" t="s">
        <v>80</v>
      </c>
      <c r="D49" s="7" t="s">
        <v>81</v>
      </c>
      <c r="E49" s="23">
        <v>0</v>
      </c>
      <c r="F49" s="23">
        <v>0.03</v>
      </c>
      <c r="G49" s="23">
        <v>0.03</v>
      </c>
      <c r="H49" s="23">
        <v>0.03</v>
      </c>
      <c r="I49" s="23">
        <v>0.03</v>
      </c>
      <c r="J49" s="23">
        <v>0.03</v>
      </c>
      <c r="K49" s="23">
        <v>2.8000000000000001E-2</v>
      </c>
      <c r="L49" s="23">
        <v>2.8000000000000001E-2</v>
      </c>
      <c r="M49" s="23">
        <v>2.8000000000000001E-2</v>
      </c>
      <c r="N49" s="46"/>
      <c r="O49" s="46"/>
    </row>
    <row r="50" spans="3:15" x14ac:dyDescent="0.2">
      <c r="C50" s="20" t="s">
        <v>151</v>
      </c>
      <c r="D50" s="21"/>
      <c r="E50" s="21"/>
      <c r="F50" s="21"/>
      <c r="G50" s="21"/>
      <c r="H50" s="21"/>
      <c r="I50" s="21"/>
      <c r="J50" s="21"/>
      <c r="K50" s="21"/>
      <c r="L50" s="21"/>
      <c r="M50" s="21"/>
      <c r="N50" s="46"/>
      <c r="O50" s="46"/>
    </row>
    <row r="51" spans="3:15" x14ac:dyDescent="0.2">
      <c r="C51" s="6" t="s">
        <v>4</v>
      </c>
      <c r="D51" s="7" t="s">
        <v>79</v>
      </c>
      <c r="E51" s="22">
        <v>2</v>
      </c>
      <c r="F51" s="22">
        <v>2</v>
      </c>
      <c r="G51" s="22">
        <v>2</v>
      </c>
      <c r="H51" s="22">
        <v>2</v>
      </c>
      <c r="I51" s="22">
        <v>2</v>
      </c>
      <c r="J51" s="22">
        <v>2</v>
      </c>
      <c r="K51" s="22">
        <v>1</v>
      </c>
      <c r="L51" s="22">
        <v>1</v>
      </c>
      <c r="M51" s="22">
        <v>1</v>
      </c>
      <c r="N51" s="46"/>
      <c r="O51" s="46"/>
    </row>
    <row r="52" spans="3:15" x14ac:dyDescent="0.2">
      <c r="C52" s="6" t="s">
        <v>80</v>
      </c>
      <c r="D52" s="7" t="s">
        <v>81</v>
      </c>
      <c r="E52" s="23">
        <v>-0.01</v>
      </c>
      <c r="F52" s="23">
        <v>0.02</v>
      </c>
      <c r="G52" s="23">
        <v>2.5000000000000001E-2</v>
      </c>
      <c r="H52" s="23">
        <v>2.5000000000000001E-2</v>
      </c>
      <c r="I52" s="23">
        <v>2.5000000000000001E-2</v>
      </c>
      <c r="J52" s="23">
        <v>2.5000000000000001E-2</v>
      </c>
      <c r="K52" s="23">
        <v>2.5000000000000001E-2</v>
      </c>
      <c r="L52" s="23">
        <v>2.5000000000000001E-2</v>
      </c>
      <c r="M52" s="23">
        <v>2.5000000000000001E-2</v>
      </c>
      <c r="N52" s="46"/>
      <c r="O52" s="46"/>
    </row>
    <row r="53" spans="3:15" x14ac:dyDescent="0.2">
      <c r="C53" s="20" t="s">
        <v>154</v>
      </c>
      <c r="D53" s="21"/>
      <c r="E53" s="21"/>
      <c r="F53" s="21"/>
      <c r="G53" s="21"/>
      <c r="H53" s="21"/>
      <c r="I53" s="21"/>
      <c r="J53" s="21"/>
      <c r="K53" s="21"/>
      <c r="N53" s="46"/>
      <c r="O53" s="46"/>
    </row>
    <row r="54" spans="3:15" x14ac:dyDescent="0.2">
      <c r="C54" s="6" t="s">
        <v>82</v>
      </c>
      <c r="D54" s="7" t="s">
        <v>81</v>
      </c>
      <c r="E54" s="23">
        <v>0.19500000000000001</v>
      </c>
      <c r="F54" s="23">
        <v>0.2</v>
      </c>
      <c r="G54" s="23">
        <v>0.20300000000000001</v>
      </c>
      <c r="H54" s="23">
        <v>0.20499999999999999</v>
      </c>
      <c r="I54" s="23">
        <v>0.20799999999999999</v>
      </c>
      <c r="J54" s="23">
        <v>0.21</v>
      </c>
      <c r="K54" s="23">
        <v>0.21</v>
      </c>
      <c r="L54" s="23">
        <v>0.21</v>
      </c>
      <c r="M54" s="23">
        <v>0.21</v>
      </c>
      <c r="N54" s="46"/>
      <c r="O54" s="46"/>
    </row>
    <row r="55" spans="3:15" x14ac:dyDescent="0.2">
      <c r="C55" s="6" t="s">
        <v>144</v>
      </c>
      <c r="D55" s="7" t="s">
        <v>81</v>
      </c>
      <c r="E55" s="24">
        <v>6.8000000000000005E-2</v>
      </c>
      <c r="F55" s="24">
        <v>6.5000000000000002E-2</v>
      </c>
      <c r="G55" s="24">
        <v>6.2E-2</v>
      </c>
      <c r="H55" s="24">
        <v>0.06</v>
      </c>
      <c r="I55" s="24">
        <v>5.8999999999999997E-2</v>
      </c>
      <c r="J55" s="24">
        <v>5.7000000000000002E-2</v>
      </c>
      <c r="K55" s="24">
        <v>5.5E-2</v>
      </c>
      <c r="L55" s="24">
        <v>5.3999999999999999E-2</v>
      </c>
      <c r="M55" s="24">
        <v>5.2999999999999999E-2</v>
      </c>
      <c r="N55" s="46"/>
      <c r="O55" s="46"/>
    </row>
    <row r="56" spans="3:15" x14ac:dyDescent="0.2">
      <c r="C56" s="20" t="s">
        <v>157</v>
      </c>
      <c r="D56" s="21"/>
      <c r="E56" s="21"/>
      <c r="F56" s="21"/>
      <c r="G56" s="21"/>
      <c r="H56" s="21"/>
      <c r="I56" s="21"/>
      <c r="J56" s="21"/>
      <c r="K56" s="21"/>
      <c r="L56" s="21"/>
      <c r="M56" s="21"/>
      <c r="N56" s="46"/>
      <c r="O56" s="46"/>
    </row>
    <row r="57" spans="3:15" x14ac:dyDescent="0.2">
      <c r="C57" s="6" t="s">
        <v>158</v>
      </c>
      <c r="D57" s="7" t="s">
        <v>81</v>
      </c>
      <c r="E57" s="24">
        <v>2.3199999999999998E-2</v>
      </c>
      <c r="F57" s="24">
        <v>2.3E-2</v>
      </c>
      <c r="G57" s="24">
        <v>2.2800000000000001E-2</v>
      </c>
      <c r="H57" s="24">
        <v>2.2499999999999999E-2</v>
      </c>
      <c r="I57" s="24">
        <v>2.2499999999999999E-2</v>
      </c>
      <c r="J57" s="24">
        <v>2.2200000000000001E-2</v>
      </c>
      <c r="K57" s="24">
        <v>2.1999999999999999E-2</v>
      </c>
      <c r="L57" s="24">
        <v>2.18E-2</v>
      </c>
      <c r="M57" s="24">
        <v>2.18E-2</v>
      </c>
      <c r="N57" s="46"/>
      <c r="O57" s="46"/>
    </row>
    <row r="58" spans="3:15" x14ac:dyDescent="0.2">
      <c r="C58" s="6" t="s">
        <v>160</v>
      </c>
      <c r="D58" s="7" t="s">
        <v>81</v>
      </c>
      <c r="E58" s="24">
        <v>5.1999999999999998E-2</v>
      </c>
      <c r="F58" s="24">
        <v>5.1799999999999999E-2</v>
      </c>
      <c r="G58" s="24">
        <v>5.1499999999999997E-2</v>
      </c>
      <c r="H58" s="24">
        <v>5.1200000000000002E-2</v>
      </c>
      <c r="I58" s="24">
        <v>5.0999999999999997E-2</v>
      </c>
      <c r="J58" s="24">
        <v>5.0799999999999998E-2</v>
      </c>
      <c r="K58" s="24">
        <v>5.0599999999999999E-2</v>
      </c>
      <c r="L58" s="24">
        <v>5.0500000000000003E-2</v>
      </c>
      <c r="M58" s="24">
        <v>5.0500000000000003E-2</v>
      </c>
      <c r="N58" s="46"/>
      <c r="O58" s="46"/>
    </row>
    <row r="59" spans="3:15" x14ac:dyDescent="0.2">
      <c r="C59" s="6" t="s">
        <v>162</v>
      </c>
      <c r="D59" s="7" t="s">
        <v>81</v>
      </c>
      <c r="E59" s="24">
        <v>1.9E-2</v>
      </c>
      <c r="F59" s="24">
        <v>2.1000000000000001E-2</v>
      </c>
      <c r="G59" s="24">
        <v>2.1999999999999999E-2</v>
      </c>
      <c r="H59" s="24">
        <v>2.1999999999999999E-2</v>
      </c>
      <c r="I59" s="24">
        <v>2.1999999999999999E-2</v>
      </c>
      <c r="J59" s="24">
        <v>2.1999999999999999E-2</v>
      </c>
      <c r="K59" s="24">
        <v>2.1999999999999999E-2</v>
      </c>
      <c r="L59" s="24">
        <v>2.1999999999999999E-2</v>
      </c>
      <c r="M59" s="24">
        <v>2.1999999999999999E-2</v>
      </c>
    </row>
    <row r="60" spans="3:15" x14ac:dyDescent="0.2">
      <c r="C60" s="6" t="s">
        <v>164</v>
      </c>
      <c r="D60" s="7" t="s">
        <v>75</v>
      </c>
      <c r="E60" s="25">
        <v>35</v>
      </c>
      <c r="F60" s="25">
        <v>10</v>
      </c>
      <c r="G60" s="25">
        <v>0</v>
      </c>
      <c r="H60" s="25">
        <v>0</v>
      </c>
      <c r="I60" s="25">
        <v>0</v>
      </c>
      <c r="J60" s="25">
        <v>0</v>
      </c>
      <c r="K60" s="25">
        <v>0</v>
      </c>
      <c r="L60" s="25">
        <v>0</v>
      </c>
      <c r="M60" s="25">
        <v>0</v>
      </c>
    </row>
    <row r="61" spans="3:15" x14ac:dyDescent="0.2">
      <c r="C61" s="6" t="s">
        <v>166</v>
      </c>
      <c r="D61" s="7" t="s">
        <v>167</v>
      </c>
      <c r="E61" s="25">
        <v>1.8</v>
      </c>
      <c r="F61" s="25">
        <v>1.85</v>
      </c>
      <c r="G61" s="25">
        <v>1.9</v>
      </c>
      <c r="H61" s="25">
        <v>1.95</v>
      </c>
      <c r="I61" s="25">
        <v>2</v>
      </c>
      <c r="J61" s="25">
        <v>2.0499999999999998</v>
      </c>
      <c r="K61" s="25">
        <v>2.1</v>
      </c>
      <c r="L61" s="25">
        <v>2.16</v>
      </c>
      <c r="M61" s="25">
        <v>2.21</v>
      </c>
    </row>
    <row r="62" spans="3:15" x14ac:dyDescent="0.2">
      <c r="C62" s="6" t="s">
        <v>169</v>
      </c>
      <c r="D62" s="7" t="s">
        <v>167</v>
      </c>
      <c r="E62" s="25">
        <v>2.15</v>
      </c>
      <c r="F62" s="25">
        <v>2.2000000000000002</v>
      </c>
      <c r="G62" s="25">
        <v>2.25</v>
      </c>
      <c r="H62" s="25">
        <v>2.2999999999999998</v>
      </c>
      <c r="I62" s="25">
        <v>2.35</v>
      </c>
      <c r="J62" s="25">
        <v>2.41</v>
      </c>
      <c r="K62" s="25">
        <v>2.4700000000000002</v>
      </c>
      <c r="L62" s="25">
        <v>2.5299999999999998</v>
      </c>
      <c r="M62" s="25">
        <v>2.59</v>
      </c>
    </row>
    <row r="63" spans="3:15" x14ac:dyDescent="0.2">
      <c r="C63" s="6" t="s">
        <v>171</v>
      </c>
      <c r="D63" s="7" t="s">
        <v>167</v>
      </c>
      <c r="E63" s="25">
        <v>2</v>
      </c>
      <c r="F63" s="25">
        <v>2.0499999999999998</v>
      </c>
      <c r="G63" s="25">
        <v>2.1</v>
      </c>
      <c r="H63" s="25">
        <v>2.15</v>
      </c>
      <c r="I63" s="25">
        <v>2.2000000000000002</v>
      </c>
      <c r="J63" s="25">
        <v>2.2599999999999998</v>
      </c>
      <c r="K63" s="25">
        <v>2.31</v>
      </c>
      <c r="L63" s="25">
        <v>2.37</v>
      </c>
      <c r="M63" s="25">
        <v>2.4300000000000002</v>
      </c>
    </row>
    <row r="64" spans="3:15" x14ac:dyDescent="0.2">
      <c r="C64" s="6" t="s">
        <v>173</v>
      </c>
      <c r="D64" s="7" t="s">
        <v>81</v>
      </c>
      <c r="E64" s="24">
        <v>-6.2E-2</v>
      </c>
      <c r="F64" s="24">
        <v>-6.2E-2</v>
      </c>
      <c r="G64" s="24">
        <v>-6.2E-2</v>
      </c>
      <c r="H64" s="24">
        <v>-6.2E-2</v>
      </c>
      <c r="I64" s="24">
        <v>-6.2E-2</v>
      </c>
      <c r="J64" s="24">
        <v>-6.2E-2</v>
      </c>
      <c r="K64" s="24">
        <v>-6.2E-2</v>
      </c>
      <c r="L64" s="24">
        <v>-6.2E-2</v>
      </c>
      <c r="M64" s="24">
        <v>-6.2E-2</v>
      </c>
    </row>
    <row r="65" spans="3:15" x14ac:dyDescent="0.2">
      <c r="C65" s="6" t="s">
        <v>175</v>
      </c>
      <c r="D65" s="7" t="s">
        <v>81</v>
      </c>
      <c r="E65" s="23">
        <v>0.29499999999999998</v>
      </c>
      <c r="F65" s="23">
        <v>0.29499999999999998</v>
      </c>
      <c r="G65" s="23">
        <v>0.29499999999999998</v>
      </c>
      <c r="H65" s="23">
        <v>0.29499999999999998</v>
      </c>
      <c r="I65" s="23">
        <v>0.29499999999999998</v>
      </c>
      <c r="J65" s="23">
        <v>0.29499999999999998</v>
      </c>
      <c r="K65" s="23">
        <v>0.29499999999999998</v>
      </c>
      <c r="L65" s="23">
        <v>0.29499999999999998</v>
      </c>
      <c r="M65" s="23">
        <v>0.29499999999999998</v>
      </c>
    </row>
    <row r="66" spans="3:15" x14ac:dyDescent="0.2">
      <c r="C66" s="20" t="s">
        <v>177</v>
      </c>
      <c r="D66" s="21"/>
      <c r="E66" s="21"/>
      <c r="F66" s="21"/>
      <c r="G66" s="21"/>
      <c r="H66" s="21"/>
      <c r="I66" s="21"/>
      <c r="J66" s="21"/>
      <c r="K66" s="21"/>
      <c r="L66" s="21"/>
      <c r="M66" s="21"/>
    </row>
    <row r="67" spans="3:15" x14ac:dyDescent="0.2">
      <c r="C67" s="6" t="s">
        <v>178</v>
      </c>
      <c r="D67" s="7" t="s">
        <v>81</v>
      </c>
      <c r="E67" s="23">
        <v>0.03</v>
      </c>
    </row>
    <row r="68" spans="3:15" x14ac:dyDescent="0.2">
      <c r="C68" s="6" t="s">
        <v>180</v>
      </c>
      <c r="D68" s="7" t="s">
        <v>106</v>
      </c>
      <c r="E68" s="26">
        <v>8</v>
      </c>
    </row>
    <row r="71" spans="3:15" x14ac:dyDescent="0.2">
      <c r="C71" s="16" t="s">
        <v>257</v>
      </c>
      <c r="D71" s="16"/>
      <c r="E71" s="16"/>
      <c r="F71" s="16"/>
      <c r="G71" s="16"/>
      <c r="H71" s="16"/>
      <c r="I71" s="16"/>
      <c r="J71" s="16"/>
      <c r="K71" s="16"/>
      <c r="L71" s="16"/>
      <c r="M71" s="16"/>
      <c r="N71" s="16"/>
      <c r="O71" s="16"/>
    </row>
    <row r="72" spans="3:15" x14ac:dyDescent="0.2">
      <c r="C72" s="17" t="s">
        <v>131</v>
      </c>
      <c r="D72" s="18" t="s">
        <v>59</v>
      </c>
      <c r="E72" s="19" t="s">
        <v>132</v>
      </c>
      <c r="F72" s="19" t="s">
        <v>133</v>
      </c>
      <c r="G72" s="19" t="s">
        <v>134</v>
      </c>
      <c r="H72" s="19" t="s">
        <v>135</v>
      </c>
      <c r="I72" s="19" t="s">
        <v>136</v>
      </c>
      <c r="J72" s="19" t="s">
        <v>298</v>
      </c>
      <c r="K72" s="19" t="s">
        <v>299</v>
      </c>
      <c r="L72" s="19" t="s">
        <v>300</v>
      </c>
      <c r="M72" s="19" t="s">
        <v>301</v>
      </c>
      <c r="O72" s="17" t="s">
        <v>137</v>
      </c>
    </row>
    <row r="73" spans="3:15" x14ac:dyDescent="0.2">
      <c r="C73" s="20" t="s">
        <v>138</v>
      </c>
      <c r="D73" s="21"/>
      <c r="E73" s="21"/>
      <c r="F73" s="21"/>
      <c r="G73" s="21"/>
      <c r="H73" s="21"/>
      <c r="I73" s="21"/>
      <c r="J73" s="21"/>
      <c r="K73" s="21"/>
      <c r="L73" s="21"/>
      <c r="M73" s="21"/>
    </row>
    <row r="74" spans="3:15" x14ac:dyDescent="0.2">
      <c r="C74" s="6" t="s">
        <v>4</v>
      </c>
      <c r="D74" s="7" t="s">
        <v>79</v>
      </c>
      <c r="E74" s="22">
        <v>6</v>
      </c>
      <c r="F74" s="22">
        <v>6</v>
      </c>
      <c r="G74" s="22">
        <v>6</v>
      </c>
      <c r="H74" s="22">
        <v>6</v>
      </c>
      <c r="I74" s="22">
        <v>6</v>
      </c>
      <c r="J74" s="22">
        <v>5</v>
      </c>
      <c r="K74" s="22">
        <v>4</v>
      </c>
      <c r="L74" s="22">
        <v>3</v>
      </c>
      <c r="M74" s="22">
        <v>3</v>
      </c>
    </row>
    <row r="75" spans="3:15" x14ac:dyDescent="0.2">
      <c r="C75" s="6" t="s">
        <v>80</v>
      </c>
      <c r="D75" s="7" t="s">
        <v>81</v>
      </c>
      <c r="E75" s="23">
        <v>2.5000000000000001E-2</v>
      </c>
      <c r="F75" s="23">
        <v>0.02</v>
      </c>
      <c r="G75" s="23">
        <v>0.02</v>
      </c>
      <c r="H75" s="23">
        <v>0.02</v>
      </c>
      <c r="I75" s="23">
        <v>0.02</v>
      </c>
      <c r="J75" s="23">
        <v>0.02</v>
      </c>
      <c r="K75" s="23">
        <v>0.02</v>
      </c>
      <c r="L75" s="23">
        <v>0.02</v>
      </c>
      <c r="M75" s="23">
        <v>0.02</v>
      </c>
    </row>
    <row r="76" spans="3:15" x14ac:dyDescent="0.2">
      <c r="C76" s="6" t="s">
        <v>141</v>
      </c>
      <c r="D76" s="7" t="s">
        <v>81</v>
      </c>
      <c r="E76" s="23">
        <v>0.01</v>
      </c>
      <c r="F76" s="23">
        <v>5.0000000000000001E-3</v>
      </c>
      <c r="G76" s="23">
        <v>0</v>
      </c>
      <c r="H76" s="23">
        <v>0</v>
      </c>
      <c r="I76" s="23">
        <v>0</v>
      </c>
      <c r="J76" s="23">
        <v>0</v>
      </c>
      <c r="K76" s="23">
        <v>0</v>
      </c>
      <c r="L76" s="23">
        <v>0</v>
      </c>
      <c r="M76" s="23">
        <v>0</v>
      </c>
    </row>
    <row r="77" spans="3:15" x14ac:dyDescent="0.2">
      <c r="C77" s="6" t="s">
        <v>82</v>
      </c>
      <c r="D77" s="7" t="s">
        <v>81</v>
      </c>
      <c r="E77" s="23">
        <v>0.20599999999999999</v>
      </c>
      <c r="F77" s="23">
        <v>0.20499999999999999</v>
      </c>
      <c r="G77" s="23">
        <v>0.20399999999999999</v>
      </c>
      <c r="H77" s="23">
        <v>0.20399999999999999</v>
      </c>
      <c r="I77" s="23">
        <v>0.20399999999999999</v>
      </c>
      <c r="J77" s="23">
        <v>0.20399999999999999</v>
      </c>
      <c r="K77" s="23">
        <v>0.20399999999999999</v>
      </c>
      <c r="L77" s="23">
        <v>0.20399999999999999</v>
      </c>
      <c r="M77" s="23">
        <v>0.20399999999999999</v>
      </c>
    </row>
    <row r="78" spans="3:15" x14ac:dyDescent="0.2">
      <c r="C78" s="6" t="s">
        <v>144</v>
      </c>
      <c r="D78" s="7" t="s">
        <v>81</v>
      </c>
      <c r="E78" s="24">
        <v>0.02</v>
      </c>
      <c r="F78" s="24">
        <v>0.02</v>
      </c>
      <c r="G78" s="24">
        <v>1.9800000000000002E-2</v>
      </c>
      <c r="H78" s="24">
        <v>1.9800000000000002E-2</v>
      </c>
      <c r="I78" s="24">
        <v>1.9800000000000002E-2</v>
      </c>
      <c r="J78" s="24">
        <v>1.9800000000000002E-2</v>
      </c>
      <c r="K78" s="24">
        <v>1.9800000000000002E-2</v>
      </c>
      <c r="L78" s="24">
        <v>1.9800000000000002E-2</v>
      </c>
      <c r="M78" s="24">
        <v>1.9800000000000002E-2</v>
      </c>
    </row>
    <row r="79" spans="3:15" x14ac:dyDescent="0.2">
      <c r="C79" s="20" t="s">
        <v>146</v>
      </c>
      <c r="D79" s="21"/>
      <c r="E79" s="21"/>
      <c r="F79" s="21"/>
      <c r="G79" s="21"/>
      <c r="H79" s="21"/>
      <c r="I79" s="21"/>
      <c r="J79" s="21"/>
      <c r="K79" s="21"/>
    </row>
    <row r="80" spans="3:15" x14ac:dyDescent="0.2">
      <c r="C80" s="6" t="s">
        <v>4</v>
      </c>
      <c r="D80" s="7" t="s">
        <v>79</v>
      </c>
      <c r="E80" s="22">
        <v>11</v>
      </c>
      <c r="F80" s="22">
        <v>5</v>
      </c>
      <c r="G80" s="22">
        <v>5</v>
      </c>
      <c r="H80" s="22">
        <v>5</v>
      </c>
      <c r="I80" s="22">
        <v>5</v>
      </c>
      <c r="J80" s="22">
        <v>4</v>
      </c>
      <c r="K80" s="22">
        <v>3</v>
      </c>
      <c r="L80" s="22">
        <v>2</v>
      </c>
      <c r="M80" s="22">
        <v>2</v>
      </c>
    </row>
    <row r="81" spans="3:13" x14ac:dyDescent="0.2">
      <c r="C81" s="6" t="s">
        <v>148</v>
      </c>
      <c r="D81" s="7" t="s">
        <v>79</v>
      </c>
      <c r="E81" s="22">
        <v>8</v>
      </c>
      <c r="F81" s="22">
        <v>0</v>
      </c>
      <c r="G81" s="22">
        <v>0</v>
      </c>
      <c r="H81" s="22">
        <v>0</v>
      </c>
      <c r="I81" s="22">
        <v>0</v>
      </c>
      <c r="J81" s="22">
        <v>0</v>
      </c>
      <c r="K81" s="22">
        <v>0</v>
      </c>
      <c r="L81" s="22">
        <v>0</v>
      </c>
      <c r="M81" s="22">
        <v>0</v>
      </c>
    </row>
    <row r="82" spans="3:13" x14ac:dyDescent="0.2">
      <c r="C82" s="6" t="s">
        <v>80</v>
      </c>
      <c r="D82" s="7" t="s">
        <v>81</v>
      </c>
      <c r="E82" s="23">
        <v>-0.05</v>
      </c>
      <c r="F82" s="23">
        <v>0</v>
      </c>
      <c r="G82" s="23">
        <v>0.01</v>
      </c>
      <c r="H82" s="23">
        <v>1.4999999999999999E-2</v>
      </c>
      <c r="I82" s="23">
        <v>1.4999999999999999E-2</v>
      </c>
      <c r="J82" s="23">
        <v>1.4999999999999999E-2</v>
      </c>
      <c r="K82" s="23">
        <v>1.4999999999999999E-2</v>
      </c>
      <c r="L82" s="23">
        <v>1.4999999999999999E-2</v>
      </c>
      <c r="M82" s="23">
        <v>1.4999999999999999E-2</v>
      </c>
    </row>
    <row r="83" spans="3:13" x14ac:dyDescent="0.2">
      <c r="C83" s="20" t="s">
        <v>151</v>
      </c>
      <c r="D83" s="21"/>
      <c r="E83" s="21"/>
      <c r="F83" s="21"/>
      <c r="G83" s="21"/>
      <c r="H83" s="21"/>
      <c r="I83" s="21"/>
      <c r="J83" s="21"/>
      <c r="K83" s="21"/>
    </row>
    <row r="84" spans="3:13" x14ac:dyDescent="0.2">
      <c r="C84" s="6" t="s">
        <v>4</v>
      </c>
      <c r="D84" s="7" t="s">
        <v>79</v>
      </c>
      <c r="E84" s="22">
        <v>0</v>
      </c>
      <c r="F84" s="22">
        <v>0</v>
      </c>
      <c r="G84" s="22">
        <v>0</v>
      </c>
      <c r="H84" s="22">
        <v>0</v>
      </c>
      <c r="I84" s="22">
        <v>0</v>
      </c>
      <c r="J84" s="22">
        <v>0</v>
      </c>
      <c r="K84" s="22">
        <v>0</v>
      </c>
      <c r="L84" s="22">
        <v>0</v>
      </c>
      <c r="M84" s="22">
        <v>0</v>
      </c>
    </row>
    <row r="85" spans="3:13" x14ac:dyDescent="0.2">
      <c r="C85" s="6" t="s">
        <v>80</v>
      </c>
      <c r="D85" s="7" t="s">
        <v>81</v>
      </c>
      <c r="E85" s="23">
        <v>-0.05</v>
      </c>
      <c r="F85" s="23">
        <v>-0.01</v>
      </c>
      <c r="G85" s="23">
        <v>5.0000000000000001E-3</v>
      </c>
      <c r="H85" s="23">
        <v>0.01</v>
      </c>
      <c r="I85" s="23">
        <v>0.01</v>
      </c>
      <c r="J85" s="23">
        <v>0.01</v>
      </c>
      <c r="K85" s="23">
        <v>0.01</v>
      </c>
      <c r="L85" s="23">
        <v>0.01</v>
      </c>
      <c r="M85" s="23">
        <v>0.01</v>
      </c>
    </row>
    <row r="86" spans="3:13" x14ac:dyDescent="0.2">
      <c r="C86" s="20" t="s">
        <v>154</v>
      </c>
      <c r="D86" s="21"/>
      <c r="E86" s="21"/>
      <c r="F86" s="21"/>
      <c r="G86" s="21"/>
      <c r="H86" s="21"/>
      <c r="I86" s="21"/>
      <c r="J86" s="21"/>
      <c r="K86" s="21"/>
    </row>
    <row r="87" spans="3:13" x14ac:dyDescent="0.2">
      <c r="C87" s="6" t="s">
        <v>82</v>
      </c>
      <c r="D87" s="7" t="s">
        <v>81</v>
      </c>
      <c r="E87" s="23">
        <v>0.185</v>
      </c>
      <c r="F87" s="23">
        <v>0.185</v>
      </c>
      <c r="G87" s="23">
        <v>0.185</v>
      </c>
      <c r="H87" s="23">
        <v>0.185</v>
      </c>
      <c r="I87" s="23">
        <v>0.185</v>
      </c>
      <c r="J87" s="23">
        <v>0.185</v>
      </c>
      <c r="K87" s="23">
        <v>0.185</v>
      </c>
      <c r="L87" s="23">
        <v>0.185</v>
      </c>
      <c r="M87" s="23">
        <v>0.185</v>
      </c>
    </row>
    <row r="88" spans="3:13" x14ac:dyDescent="0.2">
      <c r="C88" s="6" t="s">
        <v>144</v>
      </c>
      <c r="D88" s="7" t="s">
        <v>81</v>
      </c>
      <c r="E88" s="24">
        <v>7.0999999999999994E-2</v>
      </c>
      <c r="F88" s="24">
        <v>7.0000000000000007E-2</v>
      </c>
      <c r="G88" s="24">
        <v>6.9000000000000006E-2</v>
      </c>
      <c r="H88" s="24">
        <v>6.8000000000000005E-2</v>
      </c>
      <c r="I88" s="24">
        <v>6.8000000000000005E-2</v>
      </c>
      <c r="J88" s="24">
        <v>6.7000000000000004E-2</v>
      </c>
      <c r="K88" s="24">
        <v>6.7000000000000004E-2</v>
      </c>
      <c r="L88" s="24">
        <v>6.7000000000000004E-2</v>
      </c>
      <c r="M88" s="24">
        <v>6.7000000000000004E-2</v>
      </c>
    </row>
    <row r="89" spans="3:13" x14ac:dyDescent="0.2">
      <c r="C89" s="20" t="s">
        <v>157</v>
      </c>
      <c r="D89" s="21"/>
      <c r="E89" s="21"/>
      <c r="F89" s="21"/>
      <c r="G89" s="21"/>
      <c r="H89" s="21"/>
      <c r="I89" s="21"/>
      <c r="J89" s="21"/>
      <c r="K89" s="21"/>
    </row>
    <row r="90" spans="3:13" x14ac:dyDescent="0.2">
      <c r="C90" s="6" t="s">
        <v>158</v>
      </c>
      <c r="D90" s="7" t="s">
        <v>81</v>
      </c>
      <c r="E90" s="24">
        <v>2.4E-2</v>
      </c>
      <c r="F90" s="24">
        <v>2.4E-2</v>
      </c>
      <c r="G90" s="24">
        <v>2.4E-2</v>
      </c>
      <c r="H90" s="24">
        <v>2.4E-2</v>
      </c>
      <c r="I90" s="24">
        <v>2.4E-2</v>
      </c>
      <c r="J90" s="24">
        <v>2.4E-2</v>
      </c>
      <c r="K90" s="24">
        <v>2.4E-2</v>
      </c>
      <c r="L90" s="24">
        <v>2.4E-2</v>
      </c>
      <c r="M90" s="24">
        <v>2.4E-2</v>
      </c>
    </row>
    <row r="91" spans="3:13" x14ac:dyDescent="0.2">
      <c r="C91" s="6" t="s">
        <v>160</v>
      </c>
      <c r="D91" s="7" t="s">
        <v>81</v>
      </c>
      <c r="E91" s="24">
        <v>5.3499999999999999E-2</v>
      </c>
      <c r="F91" s="24">
        <v>5.3999999999999999E-2</v>
      </c>
      <c r="G91" s="24">
        <v>5.45E-2</v>
      </c>
      <c r="H91" s="24">
        <v>5.5E-2</v>
      </c>
      <c r="I91" s="24">
        <v>5.5500000000000001E-2</v>
      </c>
      <c r="J91" s="24">
        <v>5.6000000000000001E-2</v>
      </c>
      <c r="K91" s="24">
        <v>5.6500000000000002E-2</v>
      </c>
      <c r="L91" s="24">
        <v>5.7000000000000002E-2</v>
      </c>
      <c r="M91" s="24">
        <v>5.7500000000000002E-2</v>
      </c>
    </row>
    <row r="92" spans="3:13" x14ac:dyDescent="0.2">
      <c r="C92" s="6" t="s">
        <v>162</v>
      </c>
      <c r="D92" s="7" t="s">
        <v>81</v>
      </c>
      <c r="E92" s="24">
        <v>0.02</v>
      </c>
      <c r="F92" s="24">
        <v>2.1999999999999999E-2</v>
      </c>
      <c r="G92" s="24">
        <v>2.3E-2</v>
      </c>
      <c r="H92" s="24">
        <v>2.3E-2</v>
      </c>
      <c r="I92" s="24">
        <v>2.3E-2</v>
      </c>
      <c r="J92" s="24">
        <v>2.3E-2</v>
      </c>
      <c r="K92" s="24">
        <v>2.3E-2</v>
      </c>
      <c r="L92" s="24">
        <v>2.3E-2</v>
      </c>
      <c r="M92" s="24">
        <v>2.3E-2</v>
      </c>
    </row>
    <row r="93" spans="3:13" x14ac:dyDescent="0.2">
      <c r="C93" s="6" t="s">
        <v>164</v>
      </c>
      <c r="D93" s="7" t="s">
        <v>75</v>
      </c>
      <c r="E93" s="25">
        <v>35</v>
      </c>
      <c r="F93" s="25">
        <v>12</v>
      </c>
      <c r="G93" s="25">
        <v>0</v>
      </c>
      <c r="H93" s="25">
        <v>0</v>
      </c>
      <c r="I93" s="25">
        <v>0</v>
      </c>
      <c r="J93" s="25">
        <v>0</v>
      </c>
      <c r="K93" s="25">
        <v>0</v>
      </c>
      <c r="L93" s="25">
        <v>0</v>
      </c>
      <c r="M93" s="25">
        <v>0</v>
      </c>
    </row>
    <row r="94" spans="3:13" x14ac:dyDescent="0.2">
      <c r="C94" s="6" t="s">
        <v>166</v>
      </c>
      <c r="D94" s="7" t="s">
        <v>167</v>
      </c>
      <c r="E94" s="25">
        <v>1.9</v>
      </c>
      <c r="F94" s="25">
        <v>1.95</v>
      </c>
      <c r="G94" s="25">
        <v>2</v>
      </c>
      <c r="H94" s="25">
        <v>2.0499999999999998</v>
      </c>
      <c r="I94" s="25">
        <v>2.1</v>
      </c>
      <c r="J94" s="25">
        <v>2.15</v>
      </c>
      <c r="K94" s="25">
        <v>2.21</v>
      </c>
      <c r="L94" s="25">
        <v>2.2599999999999998</v>
      </c>
      <c r="M94" s="25">
        <v>2.3199999999999998</v>
      </c>
    </row>
    <row r="95" spans="3:13" x14ac:dyDescent="0.2">
      <c r="C95" s="6" t="s">
        <v>169</v>
      </c>
      <c r="D95" s="7" t="s">
        <v>167</v>
      </c>
      <c r="E95" s="25">
        <v>2.4</v>
      </c>
      <c r="F95" s="25">
        <v>2.4500000000000002</v>
      </c>
      <c r="G95" s="25">
        <v>2.5</v>
      </c>
      <c r="H95" s="25">
        <v>2.5499999999999998</v>
      </c>
      <c r="I95" s="25">
        <v>2.6</v>
      </c>
      <c r="J95" s="25">
        <v>2.67</v>
      </c>
      <c r="K95" s="25">
        <v>2.73</v>
      </c>
      <c r="L95" s="25">
        <v>2.8</v>
      </c>
      <c r="M95" s="25">
        <v>2.87</v>
      </c>
    </row>
    <row r="96" spans="3:13" x14ac:dyDescent="0.2">
      <c r="C96" s="6" t="s">
        <v>171</v>
      </c>
      <c r="D96" s="7" t="s">
        <v>167</v>
      </c>
      <c r="E96" s="25">
        <v>2.1</v>
      </c>
      <c r="F96" s="25">
        <v>2.15</v>
      </c>
      <c r="G96" s="25">
        <v>2.2000000000000002</v>
      </c>
      <c r="H96" s="25">
        <v>2.25</v>
      </c>
      <c r="I96" s="25">
        <v>2.2999999999999998</v>
      </c>
      <c r="J96" s="25">
        <v>2.36</v>
      </c>
      <c r="K96" s="25">
        <v>2.42</v>
      </c>
      <c r="L96" s="25">
        <v>2.48</v>
      </c>
      <c r="M96" s="25">
        <v>2.54</v>
      </c>
    </row>
    <row r="97" spans="3:15" x14ac:dyDescent="0.2">
      <c r="C97" s="6" t="s">
        <v>173</v>
      </c>
      <c r="D97" s="7" t="s">
        <v>81</v>
      </c>
      <c r="E97" s="24">
        <v>-5.5E-2</v>
      </c>
      <c r="F97" s="24">
        <v>-5.5E-2</v>
      </c>
      <c r="G97" s="24">
        <v>-5.5E-2</v>
      </c>
      <c r="H97" s="24">
        <v>-5.5E-2</v>
      </c>
      <c r="I97" s="24">
        <v>-5.5E-2</v>
      </c>
      <c r="J97" s="24">
        <v>-5.5E-2</v>
      </c>
      <c r="K97" s="24">
        <v>-5.5E-2</v>
      </c>
      <c r="L97" s="24">
        <v>-5.5E-2</v>
      </c>
      <c r="M97" s="24">
        <v>-5.5E-2</v>
      </c>
    </row>
    <row r="98" spans="3:15" x14ac:dyDescent="0.2">
      <c r="C98" s="6" t="s">
        <v>175</v>
      </c>
      <c r="D98" s="7" t="s">
        <v>81</v>
      </c>
      <c r="E98" s="23">
        <v>0.30499999999999999</v>
      </c>
      <c r="F98" s="23">
        <v>0.30499999999999999</v>
      </c>
      <c r="G98" s="23">
        <v>0.30499999999999999</v>
      </c>
      <c r="H98" s="23">
        <v>0.30499999999999999</v>
      </c>
      <c r="I98" s="23">
        <v>0.30499999999999999</v>
      </c>
      <c r="J98" s="23">
        <v>0.30499999999999999</v>
      </c>
      <c r="K98" s="23">
        <v>0.30499999999999999</v>
      </c>
      <c r="L98" s="23">
        <v>0.30499999999999999</v>
      </c>
      <c r="M98" s="23">
        <v>0.30499999999999999</v>
      </c>
    </row>
    <row r="99" spans="3:15" x14ac:dyDescent="0.2">
      <c r="C99" s="20" t="s">
        <v>177</v>
      </c>
      <c r="D99" s="21"/>
      <c r="E99" s="21"/>
      <c r="F99" s="21"/>
      <c r="G99" s="21"/>
      <c r="H99" s="21"/>
      <c r="I99" s="21"/>
      <c r="J99" s="21"/>
      <c r="K99" s="21"/>
      <c r="L99" s="21"/>
      <c r="M99" s="21"/>
    </row>
    <row r="100" spans="3:15" x14ac:dyDescent="0.2">
      <c r="C100" s="6" t="s">
        <v>178</v>
      </c>
      <c r="D100" s="7" t="s">
        <v>81</v>
      </c>
      <c r="E100" s="23">
        <v>0.02</v>
      </c>
    </row>
    <row r="101" spans="3:15" x14ac:dyDescent="0.2">
      <c r="C101" s="6" t="s">
        <v>180</v>
      </c>
      <c r="D101" s="7" t="s">
        <v>106</v>
      </c>
      <c r="E101" s="26">
        <v>6</v>
      </c>
    </row>
    <row r="104" spans="3:15" x14ac:dyDescent="0.2">
      <c r="C104" s="16" t="s">
        <v>258</v>
      </c>
      <c r="D104" s="16"/>
      <c r="E104" s="16"/>
      <c r="F104" s="16"/>
      <c r="G104" s="16"/>
      <c r="H104" s="16"/>
      <c r="I104" s="16"/>
      <c r="J104" s="16"/>
      <c r="K104" s="16"/>
      <c r="L104" s="16"/>
      <c r="M104" s="16"/>
      <c r="N104" s="16"/>
      <c r="O104" s="16"/>
    </row>
    <row r="105" spans="3:15" x14ac:dyDescent="0.2">
      <c r="C105" s="17" t="s">
        <v>131</v>
      </c>
      <c r="D105" s="18" t="s">
        <v>59</v>
      </c>
      <c r="E105" s="19" t="s">
        <v>132</v>
      </c>
      <c r="F105" s="19" t="s">
        <v>133</v>
      </c>
      <c r="G105" s="19" t="s">
        <v>134</v>
      </c>
      <c r="H105" s="19" t="s">
        <v>135</v>
      </c>
      <c r="I105" s="19" t="s">
        <v>136</v>
      </c>
      <c r="J105" s="19" t="s">
        <v>298</v>
      </c>
      <c r="K105" s="19" t="s">
        <v>299</v>
      </c>
      <c r="L105" s="19" t="s">
        <v>300</v>
      </c>
      <c r="M105" s="19" t="s">
        <v>301</v>
      </c>
      <c r="O105" s="17" t="s">
        <v>259</v>
      </c>
    </row>
    <row r="106" spans="3:15" x14ac:dyDescent="0.2">
      <c r="C106" s="20" t="s">
        <v>138</v>
      </c>
      <c r="D106" s="21"/>
      <c r="E106" s="21"/>
      <c r="F106" s="21"/>
      <c r="G106" s="21"/>
      <c r="H106" s="21"/>
      <c r="I106" s="21"/>
      <c r="J106" s="21"/>
      <c r="K106" s="21"/>
      <c r="L106" s="21"/>
      <c r="M106" s="21"/>
      <c r="N106" s="21"/>
      <c r="O106" s="65" t="str">
        <f>Control!E7</f>
        <v>Downside</v>
      </c>
    </row>
    <row r="107" spans="3:15" x14ac:dyDescent="0.2">
      <c r="C107" s="6" t="s">
        <v>4</v>
      </c>
      <c r="D107" s="7" t="s">
        <v>79</v>
      </c>
      <c r="E107" s="66">
        <f>CHOOSE(Control!$D$7,E8,E41,E74)</f>
        <v>6</v>
      </c>
      <c r="F107" s="66">
        <f>CHOOSE(Control!$D$7,F8,F41,F74)</f>
        <v>6</v>
      </c>
      <c r="G107" s="66">
        <f>CHOOSE(Control!$D$7,G8,G41,G74)</f>
        <v>6</v>
      </c>
      <c r="H107" s="66">
        <f>CHOOSE(Control!$D$7,H8,H41,H74)</f>
        <v>6</v>
      </c>
      <c r="I107" s="66">
        <f>CHOOSE(Control!$D$7,I8,I41,I74)</f>
        <v>6</v>
      </c>
      <c r="J107" s="66">
        <f>CHOOSE(Control!$D$7,J8,J41,J74)</f>
        <v>5</v>
      </c>
      <c r="K107" s="66">
        <f>CHOOSE(Control!$D$7,K8,K41,K74)</f>
        <v>4</v>
      </c>
      <c r="L107" s="66">
        <f>CHOOSE(Control!$D$7,L8,L41,L74)</f>
        <v>3</v>
      </c>
      <c r="M107" s="66">
        <f>CHOOSE(Control!$D$7,M8,M41,M74)</f>
        <v>3</v>
      </c>
    </row>
    <row r="108" spans="3:15" x14ac:dyDescent="0.2">
      <c r="C108" s="6" t="s">
        <v>80</v>
      </c>
      <c r="D108" s="7" t="s">
        <v>81</v>
      </c>
      <c r="E108" s="69">
        <f>CHOOSE(Control!$D$7,E9,E42,E75)</f>
        <v>2.5000000000000001E-2</v>
      </c>
      <c r="F108" s="69">
        <f>CHOOSE(Control!$D$7,F9,F42,F75)</f>
        <v>0.02</v>
      </c>
      <c r="G108" s="69">
        <f>CHOOSE(Control!$D$7,G9,G42,G75)</f>
        <v>0.02</v>
      </c>
      <c r="H108" s="69">
        <f>CHOOSE(Control!$D$7,H9,H42,H75)</f>
        <v>0.02</v>
      </c>
      <c r="I108" s="69">
        <f>CHOOSE(Control!$D$7,I9,I42,I75)</f>
        <v>0.02</v>
      </c>
      <c r="J108" s="69">
        <f>CHOOSE(Control!$D$7,J9,J42,J75)</f>
        <v>0.02</v>
      </c>
      <c r="K108" s="69">
        <f>CHOOSE(Control!$D$7,K9,K42,K75)</f>
        <v>0.02</v>
      </c>
      <c r="L108" s="69">
        <f>CHOOSE(Control!$D$7,L9,L42,L75)</f>
        <v>0.02</v>
      </c>
      <c r="M108" s="69">
        <f>CHOOSE(Control!$D$7,M9,M42,M75)</f>
        <v>0.02</v>
      </c>
    </row>
    <row r="109" spans="3:15" x14ac:dyDescent="0.2">
      <c r="C109" s="6" t="s">
        <v>141</v>
      </c>
      <c r="D109" s="7" t="s">
        <v>81</v>
      </c>
      <c r="E109" s="69">
        <f>CHOOSE(Control!$D$7,E10,E43,E76)</f>
        <v>0.01</v>
      </c>
      <c r="F109" s="69">
        <f>CHOOSE(Control!$D$7,F10,F43,F76)</f>
        <v>5.0000000000000001E-3</v>
      </c>
      <c r="G109" s="69">
        <f>CHOOSE(Control!$D$7,G10,G43,G76)</f>
        <v>0</v>
      </c>
      <c r="H109" s="69">
        <f>CHOOSE(Control!$D$7,H10,H43,H76)</f>
        <v>0</v>
      </c>
      <c r="I109" s="69">
        <f>CHOOSE(Control!$D$7,I10,I43,I76)</f>
        <v>0</v>
      </c>
      <c r="J109" s="69">
        <f>CHOOSE(Control!$D$7,J10,J43,J76)</f>
        <v>0</v>
      </c>
      <c r="K109" s="69">
        <f>CHOOSE(Control!$D$7,K10,K43,K76)</f>
        <v>0</v>
      </c>
      <c r="L109" s="69">
        <f>CHOOSE(Control!$D$7,L10,L43,L76)</f>
        <v>0</v>
      </c>
      <c r="M109" s="69">
        <f>CHOOSE(Control!$D$7,M10,M43,M76)</f>
        <v>0</v>
      </c>
    </row>
    <row r="110" spans="3:15" x14ac:dyDescent="0.2">
      <c r="C110" s="6" t="s">
        <v>82</v>
      </c>
      <c r="D110" s="7" t="s">
        <v>81</v>
      </c>
      <c r="E110" s="69">
        <f>CHOOSE(Control!$D$7,E11,E44,E77)</f>
        <v>0.20599999999999999</v>
      </c>
      <c r="F110" s="69">
        <f>CHOOSE(Control!$D$7,F11,F44,F77)</f>
        <v>0.20499999999999999</v>
      </c>
      <c r="G110" s="69">
        <f>CHOOSE(Control!$D$7,G11,G44,G77)</f>
        <v>0.20399999999999999</v>
      </c>
      <c r="H110" s="69">
        <f>CHOOSE(Control!$D$7,H11,H44,H77)</f>
        <v>0.20399999999999999</v>
      </c>
      <c r="I110" s="69">
        <f>CHOOSE(Control!$D$7,I11,I44,I77)</f>
        <v>0.20399999999999999</v>
      </c>
      <c r="J110" s="69">
        <f>CHOOSE(Control!$D$7,J11,J44,J77)</f>
        <v>0.20399999999999999</v>
      </c>
      <c r="K110" s="69">
        <f>CHOOSE(Control!$D$7,K11,K44,K77)</f>
        <v>0.20399999999999999</v>
      </c>
      <c r="L110" s="69">
        <f>CHOOSE(Control!$D$7,L11,L44,L77)</f>
        <v>0.20399999999999999</v>
      </c>
      <c r="M110" s="69">
        <f>CHOOSE(Control!$D$7,M11,M44,M77)</f>
        <v>0.20399999999999999</v>
      </c>
    </row>
    <row r="111" spans="3:15" x14ac:dyDescent="0.2">
      <c r="C111" s="6" t="s">
        <v>144</v>
      </c>
      <c r="D111" s="7" t="s">
        <v>81</v>
      </c>
      <c r="E111" s="69">
        <f>CHOOSE(Control!$D$7,E12,E45,E78)</f>
        <v>0.02</v>
      </c>
      <c r="F111" s="69">
        <f>CHOOSE(Control!$D$7,F12,F45,F78)</f>
        <v>0.02</v>
      </c>
      <c r="G111" s="69">
        <f>CHOOSE(Control!$D$7,G12,G45,G78)</f>
        <v>1.9800000000000002E-2</v>
      </c>
      <c r="H111" s="69">
        <f>CHOOSE(Control!$D$7,H12,H45,H78)</f>
        <v>1.9800000000000002E-2</v>
      </c>
      <c r="I111" s="69">
        <f>CHOOSE(Control!$D$7,I12,I45,I78)</f>
        <v>1.9800000000000002E-2</v>
      </c>
      <c r="J111" s="69">
        <f>CHOOSE(Control!$D$7,J12,J45,J78)</f>
        <v>1.9800000000000002E-2</v>
      </c>
      <c r="K111" s="69">
        <f>CHOOSE(Control!$D$7,K12,K45,K78)</f>
        <v>1.9800000000000002E-2</v>
      </c>
      <c r="L111" s="69">
        <f>CHOOSE(Control!$D$7,L12,L45,L78)</f>
        <v>1.9800000000000002E-2</v>
      </c>
      <c r="M111" s="69">
        <f>CHOOSE(Control!$D$7,M12,M45,M78)</f>
        <v>1.9800000000000002E-2</v>
      </c>
    </row>
    <row r="112" spans="3:15" x14ac:dyDescent="0.2">
      <c r="C112" s="20" t="s">
        <v>146</v>
      </c>
      <c r="D112" s="21"/>
      <c r="E112" s="21"/>
      <c r="F112" s="21"/>
      <c r="G112" s="21"/>
      <c r="H112" s="21"/>
      <c r="I112" s="21"/>
      <c r="J112" s="21"/>
      <c r="K112" s="21"/>
      <c r="L112" s="21"/>
      <c r="M112" s="21"/>
    </row>
    <row r="113" spans="3:13" x14ac:dyDescent="0.2">
      <c r="C113" s="6" t="s">
        <v>4</v>
      </c>
      <c r="D113" s="7" t="s">
        <v>79</v>
      </c>
      <c r="E113" s="66">
        <f>CHOOSE(Control!$D$7,E14,E47,E80)</f>
        <v>11</v>
      </c>
      <c r="F113" s="66">
        <f>CHOOSE(Control!$D$7,F14,F47,F80)</f>
        <v>5</v>
      </c>
      <c r="G113" s="66">
        <f>CHOOSE(Control!$D$7,G14,G47,G80)</f>
        <v>5</v>
      </c>
      <c r="H113" s="66">
        <f>CHOOSE(Control!$D$7,H14,H47,H80)</f>
        <v>5</v>
      </c>
      <c r="I113" s="66">
        <f>CHOOSE(Control!$D$7,I14,I47,I80)</f>
        <v>5</v>
      </c>
      <c r="J113" s="66">
        <f>CHOOSE(Control!$D$7,J14,J47,J80)</f>
        <v>4</v>
      </c>
      <c r="K113" s="66">
        <f>CHOOSE(Control!$D$7,K14,K47,K80)</f>
        <v>3</v>
      </c>
      <c r="L113" s="66">
        <f>CHOOSE(Control!$D$7,L14,L47,L80)</f>
        <v>2</v>
      </c>
      <c r="M113" s="66">
        <f>CHOOSE(Control!$D$7,M14,M47,M80)</f>
        <v>2</v>
      </c>
    </row>
    <row r="114" spans="3:13" x14ac:dyDescent="0.2">
      <c r="C114" s="6" t="s">
        <v>148</v>
      </c>
      <c r="D114" s="7" t="s">
        <v>79</v>
      </c>
      <c r="E114" s="66">
        <f>CHOOSE(Control!$D$7,E15,E48,E81)</f>
        <v>8</v>
      </c>
      <c r="F114" s="66">
        <f>CHOOSE(Control!$D$7,F15,F48,F81)</f>
        <v>0</v>
      </c>
      <c r="G114" s="66">
        <f>CHOOSE(Control!$D$7,G15,G48,G81)</f>
        <v>0</v>
      </c>
      <c r="H114" s="66">
        <f>CHOOSE(Control!$D$7,H15,H48,H81)</f>
        <v>0</v>
      </c>
      <c r="I114" s="66">
        <f>CHOOSE(Control!$D$7,I15,I48,I81)</f>
        <v>0</v>
      </c>
      <c r="J114" s="66">
        <f>CHOOSE(Control!$D$7,J15,J48,J81)</f>
        <v>0</v>
      </c>
      <c r="K114" s="66">
        <f>CHOOSE(Control!$D$7,K15,K48,K81)</f>
        <v>0</v>
      </c>
      <c r="L114" s="66">
        <f>CHOOSE(Control!$D$7,L15,L48,L81)</f>
        <v>0</v>
      </c>
      <c r="M114" s="66">
        <f>CHOOSE(Control!$D$7,M15,M48,M81)</f>
        <v>0</v>
      </c>
    </row>
    <row r="115" spans="3:13" x14ac:dyDescent="0.2">
      <c r="C115" s="6" t="s">
        <v>80</v>
      </c>
      <c r="D115" s="7" t="s">
        <v>81</v>
      </c>
      <c r="E115" s="69">
        <f>CHOOSE(Control!$D$7,E16,E49,E82)</f>
        <v>-0.05</v>
      </c>
      <c r="F115" s="69">
        <f>CHOOSE(Control!$D$7,F16,F49,F82)</f>
        <v>0</v>
      </c>
      <c r="G115" s="69">
        <f>CHOOSE(Control!$D$7,G16,G49,G82)</f>
        <v>0.01</v>
      </c>
      <c r="H115" s="69">
        <f>CHOOSE(Control!$D$7,H16,H49,H82)</f>
        <v>1.4999999999999999E-2</v>
      </c>
      <c r="I115" s="69">
        <f>CHOOSE(Control!$D$7,I16,I49,I82)</f>
        <v>1.4999999999999999E-2</v>
      </c>
      <c r="J115" s="69">
        <f>CHOOSE(Control!$D$7,J16,J49,J82)</f>
        <v>1.4999999999999999E-2</v>
      </c>
      <c r="K115" s="69">
        <f>CHOOSE(Control!$D$7,K16,K49,K82)</f>
        <v>1.4999999999999999E-2</v>
      </c>
      <c r="L115" s="69">
        <f>CHOOSE(Control!$D$7,L16,L49,L82)</f>
        <v>1.4999999999999999E-2</v>
      </c>
      <c r="M115" s="69">
        <f>CHOOSE(Control!$D$7,M16,M49,M82)</f>
        <v>1.4999999999999999E-2</v>
      </c>
    </row>
    <row r="116" spans="3:13" x14ac:dyDescent="0.2">
      <c r="C116" s="20" t="s">
        <v>151</v>
      </c>
      <c r="D116" s="21"/>
      <c r="E116" s="21"/>
      <c r="F116" s="21"/>
      <c r="G116" s="21"/>
      <c r="H116" s="21"/>
      <c r="I116" s="21"/>
      <c r="J116" s="21"/>
      <c r="K116" s="21"/>
      <c r="L116" s="21"/>
      <c r="M116" s="21"/>
    </row>
    <row r="117" spans="3:13" x14ac:dyDescent="0.2">
      <c r="C117" s="6" t="s">
        <v>4</v>
      </c>
      <c r="D117" s="7" t="s">
        <v>79</v>
      </c>
      <c r="E117" s="66">
        <f>CHOOSE(Control!$D$7,E18,E51,E84)</f>
        <v>0</v>
      </c>
      <c r="F117" s="66">
        <f>CHOOSE(Control!$D$7,F18,F51,F84)</f>
        <v>0</v>
      </c>
      <c r="G117" s="66">
        <f>CHOOSE(Control!$D$7,G18,G51,G84)</f>
        <v>0</v>
      </c>
      <c r="H117" s="66">
        <f>CHOOSE(Control!$D$7,H18,H51,H84)</f>
        <v>0</v>
      </c>
      <c r="I117" s="66">
        <f>CHOOSE(Control!$D$7,I18,I51,I84)</f>
        <v>0</v>
      </c>
      <c r="J117" s="66">
        <f>CHOOSE(Control!$D$7,J18,J51,J84)</f>
        <v>0</v>
      </c>
      <c r="K117" s="66">
        <f>CHOOSE(Control!$D$7,K18,K51,K84)</f>
        <v>0</v>
      </c>
      <c r="L117" s="66">
        <f>CHOOSE(Control!$D$7,L18,L51,L84)</f>
        <v>0</v>
      </c>
      <c r="M117" s="66">
        <f>CHOOSE(Control!$D$7,M18,M51,M84)</f>
        <v>0</v>
      </c>
    </row>
    <row r="118" spans="3:13" x14ac:dyDescent="0.2">
      <c r="C118" s="6" t="s">
        <v>80</v>
      </c>
      <c r="D118" s="7" t="s">
        <v>81</v>
      </c>
      <c r="E118" s="69">
        <f>CHOOSE(Control!$D$7,E19,E52,E85)</f>
        <v>-0.05</v>
      </c>
      <c r="F118" s="69">
        <f>CHOOSE(Control!$D$7,F19,F52,F85)</f>
        <v>-0.01</v>
      </c>
      <c r="G118" s="69">
        <f>CHOOSE(Control!$D$7,G19,G52,G85)</f>
        <v>5.0000000000000001E-3</v>
      </c>
      <c r="H118" s="69">
        <f>CHOOSE(Control!$D$7,H19,H52,H85)</f>
        <v>0.01</v>
      </c>
      <c r="I118" s="69">
        <f>CHOOSE(Control!$D$7,I19,I52,I85)</f>
        <v>0.01</v>
      </c>
      <c r="J118" s="69">
        <f>CHOOSE(Control!$D$7,J19,J52,J85)</f>
        <v>0.01</v>
      </c>
      <c r="K118" s="69">
        <f>CHOOSE(Control!$D$7,K19,K52,K85)</f>
        <v>0.01</v>
      </c>
      <c r="L118" s="69">
        <f>CHOOSE(Control!$D$7,L19,L52,L85)</f>
        <v>0.01</v>
      </c>
      <c r="M118" s="69">
        <f>CHOOSE(Control!$D$7,M19,M52,M85)</f>
        <v>0.01</v>
      </c>
    </row>
    <row r="119" spans="3:13" x14ac:dyDescent="0.2">
      <c r="C119" s="20" t="s">
        <v>154</v>
      </c>
      <c r="D119" s="21"/>
      <c r="E119" s="21"/>
      <c r="F119" s="21"/>
      <c r="G119" s="21"/>
      <c r="H119" s="21"/>
      <c r="I119" s="21"/>
      <c r="J119" s="21"/>
      <c r="K119" s="21"/>
      <c r="L119" s="21"/>
      <c r="M119" s="21"/>
    </row>
    <row r="120" spans="3:13" x14ac:dyDescent="0.2">
      <c r="C120" s="6" t="s">
        <v>82</v>
      </c>
      <c r="D120" s="7" t="s">
        <v>81</v>
      </c>
      <c r="E120" s="69">
        <f>CHOOSE(Control!$D$7,E21,E54,E87)</f>
        <v>0.185</v>
      </c>
      <c r="F120" s="69">
        <f>CHOOSE(Control!$D$7,F21,F54,F87)</f>
        <v>0.185</v>
      </c>
      <c r="G120" s="69">
        <f>CHOOSE(Control!$D$7,G21,G54,G87)</f>
        <v>0.185</v>
      </c>
      <c r="H120" s="69">
        <f>CHOOSE(Control!$D$7,H21,H54,H87)</f>
        <v>0.185</v>
      </c>
      <c r="I120" s="69">
        <f>CHOOSE(Control!$D$7,I21,I54,I87)</f>
        <v>0.185</v>
      </c>
      <c r="J120" s="69">
        <f>CHOOSE(Control!$D$7,J21,J54,J87)</f>
        <v>0.185</v>
      </c>
      <c r="K120" s="69">
        <f>CHOOSE(Control!$D$7,K21,K54,K87)</f>
        <v>0.185</v>
      </c>
      <c r="L120" s="69">
        <f>CHOOSE(Control!$D$7,L21,L54,L87)</f>
        <v>0.185</v>
      </c>
      <c r="M120" s="69">
        <f>CHOOSE(Control!$D$7,M21,M54,M87)</f>
        <v>0.185</v>
      </c>
    </row>
    <row r="121" spans="3:13" x14ac:dyDescent="0.2">
      <c r="C121" s="6" t="s">
        <v>144</v>
      </c>
      <c r="D121" s="7" t="s">
        <v>81</v>
      </c>
      <c r="E121" s="69">
        <f>CHOOSE(Control!$D$7,E22,E55,E88)</f>
        <v>7.0999999999999994E-2</v>
      </c>
      <c r="F121" s="69">
        <f>CHOOSE(Control!$D$7,F22,F55,F88)</f>
        <v>7.0000000000000007E-2</v>
      </c>
      <c r="G121" s="69">
        <f>CHOOSE(Control!$D$7,G22,G55,G88)</f>
        <v>6.9000000000000006E-2</v>
      </c>
      <c r="H121" s="69">
        <f>CHOOSE(Control!$D$7,H22,H55,H88)</f>
        <v>6.8000000000000005E-2</v>
      </c>
      <c r="I121" s="69">
        <f>CHOOSE(Control!$D$7,I22,I55,I88)</f>
        <v>6.8000000000000005E-2</v>
      </c>
      <c r="J121" s="69">
        <f>CHOOSE(Control!$D$7,J22,J55,J88)</f>
        <v>6.7000000000000004E-2</v>
      </c>
      <c r="K121" s="69">
        <f>CHOOSE(Control!$D$7,K22,K55,K88)</f>
        <v>6.7000000000000004E-2</v>
      </c>
      <c r="L121" s="69">
        <f>CHOOSE(Control!$D$7,L22,L55,L88)</f>
        <v>6.7000000000000004E-2</v>
      </c>
      <c r="M121" s="69">
        <f>CHOOSE(Control!$D$7,M22,M55,M88)</f>
        <v>6.7000000000000004E-2</v>
      </c>
    </row>
    <row r="122" spans="3:13" x14ac:dyDescent="0.2">
      <c r="C122" s="20" t="s">
        <v>157</v>
      </c>
      <c r="D122" s="21"/>
      <c r="E122" s="21"/>
      <c r="F122" s="21"/>
      <c r="G122" s="21"/>
      <c r="H122" s="21"/>
      <c r="I122" s="21"/>
      <c r="J122" s="21"/>
      <c r="K122" s="21"/>
      <c r="L122" s="21"/>
      <c r="M122" s="21"/>
    </row>
    <row r="123" spans="3:13" x14ac:dyDescent="0.2">
      <c r="C123" s="6" t="s">
        <v>158</v>
      </c>
      <c r="D123" s="7" t="s">
        <v>81</v>
      </c>
      <c r="E123" s="69">
        <f>CHOOSE(Control!$D$7,E24,E57,E90)</f>
        <v>2.4E-2</v>
      </c>
      <c r="F123" s="69">
        <f>CHOOSE(Control!$D$7,F24,F57,F90)</f>
        <v>2.4E-2</v>
      </c>
      <c r="G123" s="69">
        <f>CHOOSE(Control!$D$7,G24,G57,G90)</f>
        <v>2.4E-2</v>
      </c>
      <c r="H123" s="69">
        <f>CHOOSE(Control!$D$7,H24,H57,H90)</f>
        <v>2.4E-2</v>
      </c>
      <c r="I123" s="69">
        <f>CHOOSE(Control!$D$7,I24,I57,I90)</f>
        <v>2.4E-2</v>
      </c>
      <c r="J123" s="69">
        <f>CHOOSE(Control!$D$7,J24,J57,J90)</f>
        <v>2.4E-2</v>
      </c>
      <c r="K123" s="69">
        <f>CHOOSE(Control!$D$7,K24,K57,K90)</f>
        <v>2.4E-2</v>
      </c>
      <c r="L123" s="69">
        <f>CHOOSE(Control!$D$7,L24,L57,L90)</f>
        <v>2.4E-2</v>
      </c>
      <c r="M123" s="69">
        <f>CHOOSE(Control!$D$7,M24,M57,M90)</f>
        <v>2.4E-2</v>
      </c>
    </row>
    <row r="124" spans="3:13" x14ac:dyDescent="0.2">
      <c r="C124" s="6" t="s">
        <v>160</v>
      </c>
      <c r="D124" s="7" t="s">
        <v>81</v>
      </c>
      <c r="E124" s="69">
        <f>CHOOSE(Control!$D$7,E25,E58,E91)</f>
        <v>5.3499999999999999E-2</v>
      </c>
      <c r="F124" s="69">
        <f>CHOOSE(Control!$D$7,F25,F58,F91)</f>
        <v>5.3999999999999999E-2</v>
      </c>
      <c r="G124" s="69">
        <f>CHOOSE(Control!$D$7,G25,G58,G91)</f>
        <v>5.45E-2</v>
      </c>
      <c r="H124" s="69">
        <f>CHOOSE(Control!$D$7,H25,H58,H91)</f>
        <v>5.5E-2</v>
      </c>
      <c r="I124" s="69">
        <f>CHOOSE(Control!$D$7,I25,I58,I91)</f>
        <v>5.5500000000000001E-2</v>
      </c>
      <c r="J124" s="69">
        <f>CHOOSE(Control!$D$7,J25,J58,J91)</f>
        <v>5.6000000000000001E-2</v>
      </c>
      <c r="K124" s="69">
        <f>CHOOSE(Control!$D$7,K25,K58,K91)</f>
        <v>5.6500000000000002E-2</v>
      </c>
      <c r="L124" s="69">
        <f>CHOOSE(Control!$D$7,L25,L58,L91)</f>
        <v>5.7000000000000002E-2</v>
      </c>
      <c r="M124" s="69">
        <f>CHOOSE(Control!$D$7,M25,M58,M91)</f>
        <v>5.7500000000000002E-2</v>
      </c>
    </row>
    <row r="125" spans="3:13" x14ac:dyDescent="0.2">
      <c r="C125" s="6" t="s">
        <v>162</v>
      </c>
      <c r="D125" s="7" t="s">
        <v>81</v>
      </c>
      <c r="E125" s="69">
        <f>CHOOSE(Control!$D$7,E26,E59,E92)</f>
        <v>0.02</v>
      </c>
      <c r="F125" s="69">
        <f>CHOOSE(Control!$D$7,F26,F59,F92)</f>
        <v>2.1999999999999999E-2</v>
      </c>
      <c r="G125" s="69">
        <f>CHOOSE(Control!$D$7,G26,G59,G92)</f>
        <v>2.3E-2</v>
      </c>
      <c r="H125" s="69">
        <f>CHOOSE(Control!$D$7,H26,H59,H92)</f>
        <v>2.3E-2</v>
      </c>
      <c r="I125" s="69">
        <f>CHOOSE(Control!$D$7,I26,I59,I92)</f>
        <v>2.3E-2</v>
      </c>
      <c r="J125" s="69">
        <f>CHOOSE(Control!$D$7,J26,J59,J92)</f>
        <v>2.3E-2</v>
      </c>
      <c r="K125" s="69">
        <f>CHOOSE(Control!$D$7,K26,K59,K92)</f>
        <v>2.3E-2</v>
      </c>
      <c r="L125" s="69">
        <f>CHOOSE(Control!$D$7,L26,L59,L92)</f>
        <v>2.3E-2</v>
      </c>
      <c r="M125" s="69">
        <f>CHOOSE(Control!$D$7,M26,M59,M92)</f>
        <v>2.3E-2</v>
      </c>
    </row>
    <row r="126" spans="3:13" x14ac:dyDescent="0.2">
      <c r="C126" s="6" t="s">
        <v>164</v>
      </c>
      <c r="D126" s="7" t="s">
        <v>75</v>
      </c>
      <c r="E126" s="70">
        <f>CHOOSE(Control!$D$7,E27,E60,E93)</f>
        <v>35</v>
      </c>
      <c r="F126" s="70">
        <f>CHOOSE(Control!$D$7,F27,F60,F93)</f>
        <v>12</v>
      </c>
      <c r="G126" s="70">
        <f>CHOOSE(Control!$D$7,G27,G60,G93)</f>
        <v>0</v>
      </c>
      <c r="H126" s="70">
        <f>CHOOSE(Control!$D$7,H27,H60,H93)</f>
        <v>0</v>
      </c>
      <c r="I126" s="70">
        <f>CHOOSE(Control!$D$7,I27,I60,I93)</f>
        <v>0</v>
      </c>
      <c r="J126" s="70">
        <f>CHOOSE(Control!$D$7,J27,J60,J93)</f>
        <v>0</v>
      </c>
      <c r="K126" s="70">
        <f>CHOOSE(Control!$D$7,K27,K60,K93)</f>
        <v>0</v>
      </c>
      <c r="L126" s="70">
        <f>CHOOSE(Control!$D$7,L27,L60,L93)</f>
        <v>0</v>
      </c>
      <c r="M126" s="70">
        <f>CHOOSE(Control!$D$7,M27,M60,M93)</f>
        <v>0</v>
      </c>
    </row>
    <row r="127" spans="3:13" x14ac:dyDescent="0.2">
      <c r="C127" s="6" t="s">
        <v>166</v>
      </c>
      <c r="D127" s="7" t="s">
        <v>167</v>
      </c>
      <c r="E127" s="70">
        <f>CHOOSE(Control!$D$7,E28,E61,E94)</f>
        <v>1.9</v>
      </c>
      <c r="F127" s="70">
        <f>CHOOSE(Control!$D$7,F28,F61,F94)</f>
        <v>1.95</v>
      </c>
      <c r="G127" s="70">
        <f>CHOOSE(Control!$D$7,G28,G61,G94)</f>
        <v>2</v>
      </c>
      <c r="H127" s="70">
        <f>CHOOSE(Control!$D$7,H28,H61,H94)</f>
        <v>2.0499999999999998</v>
      </c>
      <c r="I127" s="70">
        <f>CHOOSE(Control!$D$7,I28,I61,I94)</f>
        <v>2.1</v>
      </c>
      <c r="J127" s="70">
        <f>CHOOSE(Control!$D$7,J28,J61,J94)</f>
        <v>2.15</v>
      </c>
      <c r="K127" s="70">
        <f>CHOOSE(Control!$D$7,K28,K61,K94)</f>
        <v>2.21</v>
      </c>
      <c r="L127" s="70">
        <f>CHOOSE(Control!$D$7,L28,L61,L94)</f>
        <v>2.2599999999999998</v>
      </c>
      <c r="M127" s="70">
        <f>CHOOSE(Control!$D$7,M28,M61,M94)</f>
        <v>2.3199999999999998</v>
      </c>
    </row>
    <row r="128" spans="3:13" x14ac:dyDescent="0.2">
      <c r="C128" s="6" t="s">
        <v>169</v>
      </c>
      <c r="D128" s="7" t="s">
        <v>167</v>
      </c>
      <c r="E128" s="70">
        <f>CHOOSE(Control!$D$7,E29,E62,E95)</f>
        <v>2.4</v>
      </c>
      <c r="F128" s="70">
        <f>CHOOSE(Control!$D$7,F29,F62,F95)</f>
        <v>2.4500000000000002</v>
      </c>
      <c r="G128" s="70">
        <f>CHOOSE(Control!$D$7,G29,G62,G95)</f>
        <v>2.5</v>
      </c>
      <c r="H128" s="70">
        <f>CHOOSE(Control!$D$7,H29,H62,H95)</f>
        <v>2.5499999999999998</v>
      </c>
      <c r="I128" s="70">
        <f>CHOOSE(Control!$D$7,I29,I62,I95)</f>
        <v>2.6</v>
      </c>
      <c r="J128" s="70">
        <f>CHOOSE(Control!$D$7,J29,J62,J95)</f>
        <v>2.67</v>
      </c>
      <c r="K128" s="70">
        <f>CHOOSE(Control!$D$7,K29,K62,K95)</f>
        <v>2.73</v>
      </c>
      <c r="L128" s="70">
        <f>CHOOSE(Control!$D$7,L29,L62,L95)</f>
        <v>2.8</v>
      </c>
      <c r="M128" s="70">
        <f>CHOOSE(Control!$D$7,M29,M62,M95)</f>
        <v>2.87</v>
      </c>
    </row>
    <row r="129" spans="3:13" x14ac:dyDescent="0.2">
      <c r="C129" s="6" t="s">
        <v>171</v>
      </c>
      <c r="D129" s="7" t="s">
        <v>167</v>
      </c>
      <c r="E129" s="70">
        <f>CHOOSE(Control!$D$7,E30,E63,E96)</f>
        <v>2.1</v>
      </c>
      <c r="F129" s="70">
        <f>CHOOSE(Control!$D$7,F30,F63,F96)</f>
        <v>2.15</v>
      </c>
      <c r="G129" s="70">
        <f>CHOOSE(Control!$D$7,G30,G63,G96)</f>
        <v>2.2000000000000002</v>
      </c>
      <c r="H129" s="70">
        <f>CHOOSE(Control!$D$7,H30,H63,H96)</f>
        <v>2.25</v>
      </c>
      <c r="I129" s="70">
        <f>CHOOSE(Control!$D$7,I30,I63,I96)</f>
        <v>2.2999999999999998</v>
      </c>
      <c r="J129" s="70">
        <f>CHOOSE(Control!$D$7,J30,J63,J96)</f>
        <v>2.36</v>
      </c>
      <c r="K129" s="70">
        <f>CHOOSE(Control!$D$7,K30,K63,K96)</f>
        <v>2.42</v>
      </c>
      <c r="L129" s="70">
        <f>CHOOSE(Control!$D$7,L30,L63,L96)</f>
        <v>2.48</v>
      </c>
      <c r="M129" s="70">
        <f>CHOOSE(Control!$D$7,M30,M63,M96)</f>
        <v>2.54</v>
      </c>
    </row>
    <row r="130" spans="3:13" x14ac:dyDescent="0.2">
      <c r="C130" s="6" t="s">
        <v>173</v>
      </c>
      <c r="D130" s="7" t="s">
        <v>81</v>
      </c>
      <c r="E130" s="69">
        <f>CHOOSE(Control!$D$7,E31,E64,E97)</f>
        <v>-5.5E-2</v>
      </c>
      <c r="F130" s="69">
        <f>CHOOSE(Control!$D$7,F31,F64,F97)</f>
        <v>-5.5E-2</v>
      </c>
      <c r="G130" s="69">
        <f>CHOOSE(Control!$D$7,G31,G64,G97)</f>
        <v>-5.5E-2</v>
      </c>
      <c r="H130" s="69">
        <f>CHOOSE(Control!$D$7,H31,H64,H97)</f>
        <v>-5.5E-2</v>
      </c>
      <c r="I130" s="69">
        <f>CHOOSE(Control!$D$7,I31,I64,I97)</f>
        <v>-5.5E-2</v>
      </c>
      <c r="J130" s="69">
        <f>CHOOSE(Control!$D$7,J31,J64,J97)</f>
        <v>-5.5E-2</v>
      </c>
      <c r="K130" s="69">
        <f>CHOOSE(Control!$D$7,K31,K64,K97)</f>
        <v>-5.5E-2</v>
      </c>
      <c r="L130" s="69">
        <f>CHOOSE(Control!$D$7,L31,L64,L97)</f>
        <v>-5.5E-2</v>
      </c>
      <c r="M130" s="69">
        <f>CHOOSE(Control!$D$7,M31,M64,M97)</f>
        <v>-5.5E-2</v>
      </c>
    </row>
    <row r="131" spans="3:13" x14ac:dyDescent="0.2">
      <c r="C131" s="6" t="s">
        <v>175</v>
      </c>
      <c r="D131" s="7" t="s">
        <v>81</v>
      </c>
      <c r="E131" s="69">
        <f>CHOOSE(Control!$D$7,E32,E65,E98)</f>
        <v>0.30499999999999999</v>
      </c>
      <c r="F131" s="69">
        <f>CHOOSE(Control!$D$7,F32,F65,F98)</f>
        <v>0.30499999999999999</v>
      </c>
      <c r="G131" s="69">
        <f>CHOOSE(Control!$D$7,G32,G65,G98)</f>
        <v>0.30499999999999999</v>
      </c>
      <c r="H131" s="69">
        <f>CHOOSE(Control!$D$7,H32,H65,H98)</f>
        <v>0.30499999999999999</v>
      </c>
      <c r="I131" s="69">
        <f>CHOOSE(Control!$D$7,I32,I65,I98)</f>
        <v>0.30499999999999999</v>
      </c>
      <c r="J131" s="69">
        <f>CHOOSE(Control!$D$7,J32,J65,J98)</f>
        <v>0.30499999999999999</v>
      </c>
      <c r="K131" s="69">
        <f>CHOOSE(Control!$D$7,K32,K65,K98)</f>
        <v>0.30499999999999999</v>
      </c>
      <c r="L131" s="69">
        <f>CHOOSE(Control!$D$7,L32,L65,L98)</f>
        <v>0.30499999999999999</v>
      </c>
      <c r="M131" s="69">
        <f>CHOOSE(Control!$D$7,M32,M65,M98)</f>
        <v>0.30499999999999999</v>
      </c>
    </row>
    <row r="132" spans="3:13" x14ac:dyDescent="0.2">
      <c r="C132" s="20" t="s">
        <v>177</v>
      </c>
      <c r="D132" s="21"/>
      <c r="E132" s="21"/>
      <c r="F132" s="21"/>
      <c r="G132" s="21"/>
      <c r="H132" s="21"/>
      <c r="I132" s="21"/>
      <c r="J132" s="21"/>
      <c r="K132" s="21"/>
      <c r="L132" s="21"/>
      <c r="M132" s="21"/>
    </row>
    <row r="133" spans="3:13" x14ac:dyDescent="0.2">
      <c r="C133" s="6" t="s">
        <v>178</v>
      </c>
      <c r="D133" s="7" t="s">
        <v>81</v>
      </c>
      <c r="E133" s="67">
        <f>CHOOSE(Control!$D$7,E34,E67,E100)</f>
        <v>0.02</v>
      </c>
    </row>
    <row r="134" spans="3:13" x14ac:dyDescent="0.2">
      <c r="C134" s="6" t="s">
        <v>180</v>
      </c>
      <c r="D134" s="7" t="s">
        <v>106</v>
      </c>
      <c r="E134" s="68">
        <f>CHOOSE(Control!$D$7,E35,E68,E101)</f>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83B0C-F255-454F-A0FD-2042A8ECE32B}">
  <dimension ref="B1:Q82"/>
  <sheetViews>
    <sheetView showGridLines="0" tabSelected="1" topLeftCell="A22" workbookViewId="0">
      <selection activeCell="M10" sqref="M10"/>
    </sheetView>
  </sheetViews>
  <sheetFormatPr baseColWidth="10" defaultRowHeight="16" x14ac:dyDescent="0.2"/>
  <cols>
    <col min="1" max="2" width="2.83203125" customWidth="1"/>
    <col min="3" max="3" width="50.83203125" customWidth="1"/>
    <col min="9" max="9" width="16.83203125" bestFit="1" customWidth="1"/>
  </cols>
  <sheetData>
    <row r="1" spans="2:17" x14ac:dyDescent="0.2">
      <c r="D1" s="12"/>
    </row>
    <row r="2" spans="2:17" ht="20" x14ac:dyDescent="0.2">
      <c r="B2" s="45" t="s">
        <v>55</v>
      </c>
      <c r="C2" s="46"/>
      <c r="D2" s="47"/>
      <c r="E2" s="46"/>
      <c r="F2" s="46"/>
      <c r="G2" s="46"/>
      <c r="H2" s="46"/>
      <c r="I2" s="46"/>
      <c r="J2" s="46"/>
      <c r="K2" s="46"/>
      <c r="L2" s="46"/>
      <c r="M2" s="46"/>
    </row>
    <row r="3" spans="2:17" x14ac:dyDescent="0.2">
      <c r="B3" s="46"/>
      <c r="C3" s="46"/>
      <c r="D3" s="47"/>
      <c r="E3" s="46"/>
      <c r="F3" s="46"/>
      <c r="G3" s="46"/>
      <c r="H3" s="46"/>
      <c r="I3" s="46"/>
      <c r="J3" s="46"/>
      <c r="K3" s="46"/>
      <c r="L3" s="46"/>
      <c r="M3" s="46"/>
    </row>
    <row r="4" spans="2:17" x14ac:dyDescent="0.2">
      <c r="B4" s="46" t="s">
        <v>57</v>
      </c>
      <c r="C4" s="46"/>
      <c r="D4" s="76" t="s">
        <v>59</v>
      </c>
      <c r="E4" s="19" t="s">
        <v>60</v>
      </c>
      <c r="F4" s="19" t="s">
        <v>61</v>
      </c>
      <c r="G4" s="19" t="s">
        <v>62</v>
      </c>
      <c r="H4" s="19" t="s">
        <v>63</v>
      </c>
      <c r="I4" s="64" t="s">
        <v>64</v>
      </c>
      <c r="J4" s="46"/>
      <c r="K4" s="46"/>
      <c r="L4" s="46"/>
      <c r="M4" s="46"/>
    </row>
    <row r="5" spans="2:17" x14ac:dyDescent="0.2">
      <c r="B5" s="48" t="s">
        <v>58</v>
      </c>
      <c r="C5" s="49"/>
      <c r="D5" s="50"/>
      <c r="E5" s="49"/>
      <c r="F5" s="49"/>
      <c r="G5" s="49"/>
      <c r="H5" s="49"/>
      <c r="I5" s="49"/>
      <c r="J5" s="49"/>
      <c r="K5" s="46"/>
      <c r="L5" s="46"/>
      <c r="M5" s="46"/>
    </row>
    <row r="6" spans="2:17" x14ac:dyDescent="0.2">
      <c r="B6" s="46"/>
      <c r="C6" s="55" t="s">
        <v>9</v>
      </c>
      <c r="D6" s="56" t="s">
        <v>75</v>
      </c>
      <c r="E6" s="51"/>
      <c r="F6" s="51"/>
      <c r="G6" s="2">
        <v>1466.5</v>
      </c>
      <c r="H6" s="2">
        <v>1592.6</v>
      </c>
      <c r="I6" s="57" t="s">
        <v>77</v>
      </c>
      <c r="J6" s="58"/>
      <c r="K6" s="46"/>
      <c r="L6" s="46"/>
      <c r="M6" s="46"/>
      <c r="P6" s="1"/>
      <c r="Q6" s="1"/>
    </row>
    <row r="7" spans="2:17" x14ac:dyDescent="0.2">
      <c r="B7" s="46"/>
      <c r="C7" s="55" t="s">
        <v>65</v>
      </c>
      <c r="D7" s="56" t="s">
        <v>75</v>
      </c>
      <c r="E7" s="51"/>
      <c r="F7" s="51"/>
      <c r="G7" s="2">
        <v>230.1</v>
      </c>
      <c r="H7" s="2">
        <v>244.5</v>
      </c>
      <c r="I7" s="57" t="s">
        <v>77</v>
      </c>
      <c r="J7" s="58"/>
      <c r="K7" s="46"/>
      <c r="L7" s="46"/>
      <c r="M7" s="46"/>
      <c r="P7" s="1"/>
      <c r="Q7" s="1"/>
    </row>
    <row r="8" spans="2:17" x14ac:dyDescent="0.2">
      <c r="B8" s="46"/>
      <c r="C8" s="55" t="s">
        <v>66</v>
      </c>
      <c r="D8" s="56" t="s">
        <v>75</v>
      </c>
      <c r="E8" s="51"/>
      <c r="F8" s="51"/>
      <c r="G8" s="2">
        <v>154.80000000000001</v>
      </c>
      <c r="H8" s="2">
        <v>160.80000000000001</v>
      </c>
      <c r="I8" s="57" t="s">
        <v>77</v>
      </c>
      <c r="J8" s="58"/>
      <c r="K8" s="46"/>
      <c r="L8" s="46"/>
      <c r="M8" s="46"/>
      <c r="P8" s="1"/>
      <c r="Q8" s="1"/>
    </row>
    <row r="9" spans="2:17" x14ac:dyDescent="0.2">
      <c r="B9" s="46"/>
      <c r="C9" s="55" t="s">
        <v>67</v>
      </c>
      <c r="D9" s="56" t="s">
        <v>75</v>
      </c>
      <c r="E9" s="51"/>
      <c r="F9" s="51"/>
      <c r="G9" s="2">
        <v>118.7</v>
      </c>
      <c r="H9" s="2">
        <v>130.69999999999999</v>
      </c>
      <c r="I9" s="57" t="s">
        <v>77</v>
      </c>
      <c r="J9" s="58"/>
      <c r="K9" s="46"/>
      <c r="L9" s="46"/>
      <c r="M9" s="46"/>
      <c r="P9" s="1"/>
      <c r="Q9" s="1"/>
    </row>
    <row r="10" spans="2:17" x14ac:dyDescent="0.2">
      <c r="B10" s="46"/>
      <c r="C10" s="55" t="s">
        <v>68</v>
      </c>
      <c r="D10" s="56" t="s">
        <v>75</v>
      </c>
      <c r="E10" s="51"/>
      <c r="F10" s="51"/>
      <c r="G10" s="2">
        <v>99.3</v>
      </c>
      <c r="H10" s="2">
        <v>105.3</v>
      </c>
      <c r="I10" s="57" t="s">
        <v>77</v>
      </c>
      <c r="J10" s="58"/>
      <c r="K10" s="46"/>
      <c r="L10" s="46"/>
      <c r="M10" s="46"/>
      <c r="P10" s="1"/>
      <c r="Q10" s="1"/>
    </row>
    <row r="11" spans="2:17" x14ac:dyDescent="0.2">
      <c r="B11" s="46"/>
      <c r="C11" s="55" t="s">
        <v>69</v>
      </c>
      <c r="D11" s="56" t="s">
        <v>75</v>
      </c>
      <c r="E11" s="51"/>
      <c r="F11" s="51"/>
      <c r="G11" s="2">
        <v>54.4</v>
      </c>
      <c r="H11" s="2">
        <v>61.4</v>
      </c>
      <c r="I11" s="57" t="s">
        <v>77</v>
      </c>
      <c r="J11" s="58"/>
      <c r="K11" s="46"/>
      <c r="L11" s="46"/>
      <c r="M11" s="46"/>
      <c r="P11" s="1"/>
      <c r="Q11" s="1"/>
    </row>
    <row r="12" spans="2:17" x14ac:dyDescent="0.2">
      <c r="B12" s="46"/>
      <c r="C12" s="55" t="s">
        <v>70</v>
      </c>
      <c r="D12" s="56" t="s">
        <v>75</v>
      </c>
      <c r="E12" s="51"/>
      <c r="F12" s="51"/>
      <c r="G12" s="2">
        <v>62.1</v>
      </c>
      <c r="H12" s="2">
        <v>66.3</v>
      </c>
      <c r="I12" s="57" t="s">
        <v>77</v>
      </c>
      <c r="J12" s="58"/>
      <c r="K12" s="46"/>
      <c r="L12" s="46"/>
      <c r="M12" s="46"/>
      <c r="P12" s="1"/>
      <c r="Q12" s="1"/>
    </row>
    <row r="13" spans="2:17" x14ac:dyDescent="0.2">
      <c r="B13" s="46"/>
      <c r="C13" s="55" t="s">
        <v>71</v>
      </c>
      <c r="D13" s="56" t="s">
        <v>75</v>
      </c>
      <c r="E13" s="51"/>
      <c r="F13" s="51"/>
      <c r="G13" s="2">
        <v>12.4</v>
      </c>
      <c r="H13" s="2">
        <v>47.1</v>
      </c>
      <c r="I13" s="57" t="s">
        <v>77</v>
      </c>
      <c r="J13" s="58"/>
      <c r="K13" s="46"/>
      <c r="L13" s="46"/>
      <c r="M13" s="46"/>
      <c r="P13" s="1"/>
      <c r="Q13" s="1"/>
    </row>
    <row r="14" spans="2:17" x14ac:dyDescent="0.2">
      <c r="B14" s="46"/>
      <c r="C14" s="55" t="s">
        <v>72</v>
      </c>
      <c r="D14" s="56" t="s">
        <v>75</v>
      </c>
      <c r="E14" s="51"/>
      <c r="F14" s="51"/>
      <c r="G14" s="2">
        <v>111.3</v>
      </c>
      <c r="H14" s="2">
        <v>113.9</v>
      </c>
      <c r="I14" s="57" t="s">
        <v>77</v>
      </c>
      <c r="J14" s="58"/>
      <c r="K14" s="46"/>
      <c r="L14" s="46"/>
      <c r="M14" s="46"/>
      <c r="P14" s="1"/>
      <c r="Q14" s="1"/>
    </row>
    <row r="15" spans="2:17" x14ac:dyDescent="0.2">
      <c r="B15" s="46"/>
      <c r="C15" s="55" t="s">
        <v>73</v>
      </c>
      <c r="D15" s="56" t="s">
        <v>75</v>
      </c>
      <c r="E15" s="51"/>
      <c r="F15" s="51"/>
      <c r="G15" s="2">
        <v>39.299999999999997</v>
      </c>
      <c r="H15" s="2">
        <v>43</v>
      </c>
      <c r="I15" s="57" t="s">
        <v>77</v>
      </c>
      <c r="J15" s="58"/>
      <c r="K15" s="46"/>
      <c r="L15" s="46"/>
      <c r="M15" s="46"/>
      <c r="P15" s="1"/>
      <c r="Q15" s="1"/>
    </row>
    <row r="16" spans="2:17" x14ac:dyDescent="0.2">
      <c r="B16" s="46"/>
      <c r="C16" s="55" t="s">
        <v>74</v>
      </c>
      <c r="D16" s="56" t="s">
        <v>76</v>
      </c>
      <c r="E16" s="51"/>
      <c r="F16" s="51"/>
      <c r="G16" s="3">
        <v>46.1</v>
      </c>
      <c r="H16" s="3">
        <v>52</v>
      </c>
      <c r="I16" s="57" t="s">
        <v>77</v>
      </c>
      <c r="J16" s="58"/>
      <c r="K16" s="46"/>
      <c r="L16" s="46"/>
      <c r="M16" s="46"/>
      <c r="P16" s="1"/>
      <c r="Q16" s="1"/>
    </row>
    <row r="17" spans="2:13" x14ac:dyDescent="0.2">
      <c r="B17" s="46"/>
      <c r="C17" s="46"/>
      <c r="D17" s="47"/>
      <c r="E17" s="46"/>
      <c r="F17" s="46"/>
      <c r="G17" s="46"/>
      <c r="H17" s="46"/>
      <c r="I17" s="59"/>
      <c r="J17" s="59"/>
      <c r="K17" s="46"/>
      <c r="L17" s="46"/>
      <c r="M17" s="46"/>
    </row>
    <row r="18" spans="2:13" x14ac:dyDescent="0.2">
      <c r="B18" s="48" t="s">
        <v>2</v>
      </c>
      <c r="C18" s="49"/>
      <c r="D18" s="50"/>
      <c r="E18" s="49"/>
      <c r="F18" s="49"/>
      <c r="G18" s="49"/>
      <c r="H18" s="49"/>
      <c r="I18" s="60"/>
      <c r="J18" s="60"/>
      <c r="K18" s="46"/>
      <c r="L18" s="46"/>
      <c r="M18" s="46"/>
    </row>
    <row r="19" spans="2:13" x14ac:dyDescent="0.2">
      <c r="B19" s="46"/>
      <c r="C19" s="55" t="s">
        <v>78</v>
      </c>
      <c r="D19" s="56" t="s">
        <v>79</v>
      </c>
      <c r="E19" s="2"/>
      <c r="F19" s="2"/>
      <c r="G19" s="5">
        <v>288</v>
      </c>
      <c r="H19" s="5">
        <v>295</v>
      </c>
      <c r="I19" s="57" t="s">
        <v>77</v>
      </c>
      <c r="J19" s="58"/>
      <c r="K19" s="46"/>
      <c r="L19" s="46"/>
      <c r="M19" s="46"/>
    </row>
    <row r="20" spans="2:13" x14ac:dyDescent="0.2">
      <c r="B20" s="46"/>
      <c r="C20" s="55" t="s">
        <v>9</v>
      </c>
      <c r="D20" s="56" t="s">
        <v>75</v>
      </c>
      <c r="E20" s="2">
        <v>1051.3</v>
      </c>
      <c r="F20" s="2">
        <v>1121</v>
      </c>
      <c r="G20" s="2">
        <v>1154.2</v>
      </c>
      <c r="H20" s="2">
        <v>1241.3</v>
      </c>
      <c r="I20" s="57" t="s">
        <v>77</v>
      </c>
      <c r="J20" s="58"/>
      <c r="K20" s="46"/>
      <c r="L20" s="46"/>
      <c r="M20" s="46"/>
    </row>
    <row r="21" spans="2:13" x14ac:dyDescent="0.2">
      <c r="B21" s="46"/>
      <c r="C21" s="55" t="s">
        <v>80</v>
      </c>
      <c r="D21" s="56" t="s">
        <v>81</v>
      </c>
      <c r="E21" s="2"/>
      <c r="F21" s="2"/>
      <c r="G21" s="4">
        <v>3.0000000000000001E-3</v>
      </c>
      <c r="H21" s="4">
        <v>2.7E-2</v>
      </c>
      <c r="I21" s="57" t="s">
        <v>77</v>
      </c>
      <c r="J21" s="58"/>
      <c r="K21" s="46"/>
      <c r="L21" s="46"/>
      <c r="M21" s="46"/>
    </row>
    <row r="22" spans="2:13" x14ac:dyDescent="0.2">
      <c r="B22" s="46"/>
      <c r="C22" s="55" t="s">
        <v>10</v>
      </c>
      <c r="D22" s="56" t="s">
        <v>75</v>
      </c>
      <c r="E22" s="2"/>
      <c r="F22" s="2"/>
      <c r="G22" s="2">
        <v>245.2</v>
      </c>
      <c r="H22" s="2">
        <v>260.5</v>
      </c>
      <c r="I22" s="57" t="s">
        <v>77</v>
      </c>
      <c r="J22" s="58"/>
      <c r="K22" s="46"/>
      <c r="L22" s="46"/>
      <c r="M22" s="46"/>
    </row>
    <row r="23" spans="2:13" x14ac:dyDescent="0.2">
      <c r="B23" s="46"/>
      <c r="C23" s="55" t="s">
        <v>82</v>
      </c>
      <c r="D23" s="56" t="s">
        <v>81</v>
      </c>
      <c r="E23" s="2"/>
      <c r="F23" s="2"/>
      <c r="G23" s="4">
        <v>0.21199999999999999</v>
      </c>
      <c r="H23" s="4">
        <v>0.21</v>
      </c>
      <c r="I23" s="57" t="s">
        <v>77</v>
      </c>
      <c r="J23" s="58"/>
      <c r="K23" s="46"/>
      <c r="L23" s="46"/>
      <c r="M23" s="46"/>
    </row>
    <row r="24" spans="2:13" x14ac:dyDescent="0.2">
      <c r="B24" s="46"/>
      <c r="C24" s="55" t="s">
        <v>83</v>
      </c>
      <c r="D24" s="56" t="s">
        <v>75</v>
      </c>
      <c r="E24" s="2">
        <v>201.6</v>
      </c>
      <c r="F24" s="2">
        <v>221.4</v>
      </c>
      <c r="G24" s="2">
        <v>222.6</v>
      </c>
      <c r="H24" s="2">
        <v>237.1</v>
      </c>
      <c r="I24" s="57" t="s">
        <v>77</v>
      </c>
      <c r="J24" s="58"/>
      <c r="K24" s="46"/>
      <c r="L24" s="46"/>
      <c r="M24" s="46"/>
    </row>
    <row r="25" spans="2:13" x14ac:dyDescent="0.2">
      <c r="B25" s="46"/>
      <c r="C25" s="55" t="s">
        <v>84</v>
      </c>
      <c r="D25" s="56" t="s">
        <v>75</v>
      </c>
      <c r="E25" s="2">
        <v>136.1</v>
      </c>
      <c r="F25" s="2">
        <v>149.69999999999999</v>
      </c>
      <c r="G25" s="2">
        <v>146.19999999999999</v>
      </c>
      <c r="H25" s="2">
        <v>155.80000000000001</v>
      </c>
      <c r="I25" s="57" t="s">
        <v>77</v>
      </c>
      <c r="J25" s="58"/>
      <c r="K25" s="46"/>
      <c r="L25" s="46"/>
      <c r="M25" s="46"/>
    </row>
    <row r="26" spans="2:13" x14ac:dyDescent="0.2">
      <c r="B26" s="46"/>
      <c r="C26" s="46"/>
      <c r="D26" s="47"/>
      <c r="E26" s="51"/>
      <c r="F26" s="51"/>
      <c r="G26" s="2"/>
      <c r="H26" s="2"/>
      <c r="I26" s="57"/>
      <c r="J26" s="58"/>
      <c r="K26" s="46"/>
      <c r="L26" s="46"/>
      <c r="M26" s="46"/>
    </row>
    <row r="27" spans="2:13" x14ac:dyDescent="0.2">
      <c r="B27" s="48" t="s">
        <v>85</v>
      </c>
      <c r="C27" s="49"/>
      <c r="D27" s="50"/>
      <c r="E27" s="49"/>
      <c r="F27" s="49"/>
      <c r="G27" s="49"/>
      <c r="H27" s="49"/>
      <c r="I27" s="60"/>
      <c r="J27" s="60"/>
      <c r="K27" s="46"/>
      <c r="L27" s="46"/>
      <c r="M27" s="46"/>
    </row>
    <row r="28" spans="2:13" x14ac:dyDescent="0.2">
      <c r="B28" s="46"/>
      <c r="C28" s="55" t="s">
        <v>78</v>
      </c>
      <c r="D28" s="56" t="s">
        <v>79</v>
      </c>
      <c r="E28" s="2"/>
      <c r="F28" s="2"/>
      <c r="G28" s="5">
        <v>78</v>
      </c>
      <c r="H28" s="5">
        <v>80</v>
      </c>
      <c r="I28" s="57" t="s">
        <v>77</v>
      </c>
      <c r="J28" s="58"/>
      <c r="K28" s="46"/>
      <c r="L28" s="46"/>
      <c r="M28" s="46"/>
    </row>
    <row r="29" spans="2:13" x14ac:dyDescent="0.2">
      <c r="B29" s="46"/>
      <c r="C29" s="55" t="s">
        <v>86</v>
      </c>
      <c r="D29" s="56" t="s">
        <v>79</v>
      </c>
      <c r="E29" s="2"/>
      <c r="F29" s="2"/>
      <c r="G29" s="5">
        <v>16</v>
      </c>
      <c r="H29" s="5">
        <v>17</v>
      </c>
      <c r="I29" s="57" t="s">
        <v>77</v>
      </c>
      <c r="J29" s="58"/>
      <c r="K29" s="46"/>
      <c r="L29" s="46"/>
      <c r="M29" s="46"/>
    </row>
    <row r="30" spans="2:13" x14ac:dyDescent="0.2">
      <c r="B30" s="46"/>
      <c r="C30" s="55" t="s">
        <v>87</v>
      </c>
      <c r="D30" s="56" t="s">
        <v>79</v>
      </c>
      <c r="E30" s="2"/>
      <c r="F30" s="2"/>
      <c r="G30" s="5">
        <v>62</v>
      </c>
      <c r="H30" s="5">
        <v>63</v>
      </c>
      <c r="I30" s="57" t="s">
        <v>77</v>
      </c>
      <c r="J30" s="58"/>
      <c r="K30" s="46"/>
      <c r="L30" s="46"/>
      <c r="M30" s="46"/>
    </row>
    <row r="31" spans="2:13" x14ac:dyDescent="0.2">
      <c r="B31" s="46"/>
      <c r="C31" s="55" t="s">
        <v>9</v>
      </c>
      <c r="D31" s="56" t="s">
        <v>75</v>
      </c>
      <c r="E31" s="2">
        <v>248.7</v>
      </c>
      <c r="F31" s="2">
        <v>313.5</v>
      </c>
      <c r="G31" s="2">
        <v>312.3</v>
      </c>
      <c r="H31" s="2">
        <v>351.3</v>
      </c>
      <c r="I31" s="57" t="s">
        <v>77</v>
      </c>
      <c r="J31" s="58"/>
      <c r="K31" s="46"/>
      <c r="L31" s="46"/>
      <c r="M31" s="46"/>
    </row>
    <row r="32" spans="2:13" x14ac:dyDescent="0.2">
      <c r="B32" s="46"/>
      <c r="C32" s="55" t="s">
        <v>10</v>
      </c>
      <c r="D32" s="56" t="s">
        <v>75</v>
      </c>
      <c r="E32" s="2"/>
      <c r="F32" s="2"/>
      <c r="G32" s="2">
        <v>61.9</v>
      </c>
      <c r="H32" s="2">
        <v>67.8</v>
      </c>
      <c r="I32" s="57" t="s">
        <v>77</v>
      </c>
      <c r="J32" s="58"/>
      <c r="K32" s="46"/>
      <c r="L32" s="46"/>
      <c r="M32" s="46"/>
    </row>
    <row r="33" spans="2:13" x14ac:dyDescent="0.2">
      <c r="B33" s="46"/>
      <c r="C33" s="55" t="s">
        <v>82</v>
      </c>
      <c r="D33" s="56" t="s">
        <v>81</v>
      </c>
      <c r="E33" s="2"/>
      <c r="F33" s="2"/>
      <c r="G33" s="4">
        <v>0.19800000000000001</v>
      </c>
      <c r="H33" s="4">
        <v>0.193</v>
      </c>
      <c r="I33" s="57" t="s">
        <v>77</v>
      </c>
      <c r="J33" s="58"/>
      <c r="K33" s="46"/>
      <c r="L33" s="46"/>
      <c r="M33" s="46"/>
    </row>
    <row r="34" spans="2:13" x14ac:dyDescent="0.2">
      <c r="B34" s="46"/>
      <c r="C34" s="55" t="s">
        <v>83</v>
      </c>
      <c r="D34" s="56" t="s">
        <v>75</v>
      </c>
      <c r="E34" s="2">
        <v>32.799999999999997</v>
      </c>
      <c r="F34" s="2">
        <v>42.5</v>
      </c>
      <c r="G34" s="2">
        <v>39.4</v>
      </c>
      <c r="H34" s="2">
        <v>44.9</v>
      </c>
      <c r="I34" s="57" t="s">
        <v>77</v>
      </c>
      <c r="J34" s="58"/>
      <c r="K34" s="46"/>
      <c r="L34" s="46"/>
      <c r="M34" s="46"/>
    </row>
    <row r="35" spans="2:13" x14ac:dyDescent="0.2">
      <c r="B35" s="46"/>
      <c r="C35" s="55" t="s">
        <v>84</v>
      </c>
      <c r="D35" s="56" t="s">
        <v>75</v>
      </c>
      <c r="E35" s="2">
        <v>9.1999999999999993</v>
      </c>
      <c r="F35" s="2">
        <v>12.1</v>
      </c>
      <c r="G35" s="2">
        <v>7.6</v>
      </c>
      <c r="H35" s="2">
        <v>14.9</v>
      </c>
      <c r="I35" s="57" t="s">
        <v>77</v>
      </c>
      <c r="J35" s="58"/>
      <c r="K35" s="46"/>
      <c r="L35" s="46"/>
      <c r="M35" s="46"/>
    </row>
    <row r="36" spans="2:13" x14ac:dyDescent="0.2">
      <c r="B36" s="46"/>
      <c r="C36" s="55" t="s">
        <v>88</v>
      </c>
      <c r="D36" s="56" t="s">
        <v>81</v>
      </c>
      <c r="E36" s="2"/>
      <c r="F36" s="2"/>
      <c r="G36" s="4">
        <v>-3.3000000000000002E-2</v>
      </c>
      <c r="H36" s="4">
        <v>3.6999999999999998E-2</v>
      </c>
      <c r="I36" s="57" t="s">
        <v>77</v>
      </c>
      <c r="J36" s="58"/>
      <c r="K36" s="46"/>
      <c r="L36" s="46"/>
      <c r="M36" s="46"/>
    </row>
    <row r="37" spans="2:13" x14ac:dyDescent="0.2">
      <c r="B37" s="46"/>
      <c r="C37" s="55" t="s">
        <v>89</v>
      </c>
      <c r="D37" s="56" t="s">
        <v>81</v>
      </c>
      <c r="E37" s="4"/>
      <c r="F37" s="4"/>
      <c r="G37" s="4">
        <v>-2.5000000000000001E-2</v>
      </c>
      <c r="H37" s="4">
        <v>0</v>
      </c>
      <c r="I37" s="59"/>
      <c r="J37" s="59"/>
      <c r="K37" s="46"/>
      <c r="L37" s="46"/>
      <c r="M37" s="46"/>
    </row>
    <row r="38" spans="2:13" x14ac:dyDescent="0.2">
      <c r="B38" s="46"/>
      <c r="C38" s="46"/>
      <c r="D38" s="47"/>
      <c r="E38" s="46"/>
      <c r="F38" s="46"/>
      <c r="G38" s="46"/>
      <c r="H38" s="46"/>
      <c r="I38" s="59"/>
      <c r="J38" s="59"/>
      <c r="K38" s="46"/>
      <c r="L38" s="46"/>
      <c r="M38" s="46"/>
    </row>
    <row r="39" spans="2:13" x14ac:dyDescent="0.2">
      <c r="B39" s="48" t="s">
        <v>90</v>
      </c>
      <c r="C39" s="49"/>
      <c r="D39" s="49"/>
      <c r="E39" s="49"/>
      <c r="F39" s="49"/>
      <c r="G39" s="49"/>
      <c r="H39" s="49"/>
      <c r="I39" s="60"/>
      <c r="J39" s="60"/>
      <c r="K39" s="46"/>
      <c r="L39" s="46"/>
      <c r="M39" s="46"/>
    </row>
    <row r="40" spans="2:13" x14ac:dyDescent="0.2">
      <c r="B40" s="46"/>
      <c r="C40" s="6" t="s">
        <v>91</v>
      </c>
      <c r="D40" s="7" t="s">
        <v>81</v>
      </c>
      <c r="E40" s="46"/>
      <c r="F40" s="46"/>
      <c r="G40" s="46"/>
      <c r="H40" s="8">
        <v>0.11600000000000001</v>
      </c>
      <c r="I40" s="57" t="s">
        <v>114</v>
      </c>
      <c r="J40" s="59"/>
      <c r="K40" s="46"/>
      <c r="L40" s="46"/>
      <c r="M40" s="46"/>
    </row>
    <row r="41" spans="2:13" x14ac:dyDescent="0.2">
      <c r="B41" s="46"/>
      <c r="C41" s="6" t="s">
        <v>92</v>
      </c>
      <c r="D41" s="7" t="s">
        <v>81</v>
      </c>
      <c r="E41" s="46"/>
      <c r="F41" s="46"/>
      <c r="G41" s="46"/>
      <c r="H41" s="8">
        <v>0.158</v>
      </c>
      <c r="I41" s="57" t="s">
        <v>114</v>
      </c>
      <c r="J41" s="59"/>
      <c r="K41" s="46"/>
      <c r="L41" s="46"/>
      <c r="M41" s="46"/>
    </row>
    <row r="42" spans="2:13" x14ac:dyDescent="0.2">
      <c r="B42" s="46"/>
      <c r="C42" s="6" t="s">
        <v>93</v>
      </c>
      <c r="D42" s="7" t="s">
        <v>75</v>
      </c>
      <c r="E42" s="46"/>
      <c r="F42" s="46"/>
      <c r="G42" s="9">
        <f>(H31-G31*(1+H41))/((1+H40)-(1+H41))</f>
        <v>246.27142857142903</v>
      </c>
      <c r="H42" s="46"/>
      <c r="I42" s="57" t="s">
        <v>128</v>
      </c>
      <c r="J42" s="59"/>
      <c r="K42" s="46"/>
      <c r="L42" s="46"/>
      <c r="M42" s="46"/>
    </row>
    <row r="43" spans="2:13" x14ac:dyDescent="0.2">
      <c r="B43" s="46"/>
      <c r="C43" s="6" t="s">
        <v>94</v>
      </c>
      <c r="D43" s="7" t="s">
        <v>75</v>
      </c>
      <c r="E43" s="46"/>
      <c r="F43" s="46"/>
      <c r="G43" s="9">
        <f>G31-G42</f>
        <v>66.028571428570984</v>
      </c>
      <c r="H43" s="46"/>
      <c r="I43" s="57"/>
      <c r="J43" s="59"/>
      <c r="K43" s="46"/>
      <c r="L43" s="46"/>
      <c r="M43" s="46"/>
    </row>
    <row r="44" spans="2:13" x14ac:dyDescent="0.2">
      <c r="B44" s="46"/>
      <c r="C44" s="10" t="s">
        <v>95</v>
      </c>
      <c r="D44" s="7" t="s">
        <v>75</v>
      </c>
      <c r="E44" s="46"/>
      <c r="F44" s="46"/>
      <c r="G44" s="46"/>
      <c r="H44" s="11">
        <f>G42*(1+H40)</f>
        <v>274.83891428571479</v>
      </c>
      <c r="I44" s="59"/>
      <c r="J44" s="59"/>
      <c r="K44" s="46"/>
      <c r="L44" s="46"/>
      <c r="M44" s="46"/>
    </row>
    <row r="45" spans="2:13" x14ac:dyDescent="0.2">
      <c r="B45" s="46"/>
      <c r="C45" s="10" t="s">
        <v>96</v>
      </c>
      <c r="D45" s="7" t="s">
        <v>75</v>
      </c>
      <c r="E45" s="46"/>
      <c r="F45" s="46"/>
      <c r="G45" s="46"/>
      <c r="H45" s="11">
        <f>G43*(1+H41)</f>
        <v>76.46108571428519</v>
      </c>
      <c r="I45" s="59"/>
      <c r="J45" s="59"/>
      <c r="K45" s="46"/>
      <c r="L45" s="46"/>
      <c r="M45" s="46"/>
    </row>
    <row r="46" spans="2:13" x14ac:dyDescent="0.2">
      <c r="B46" s="46"/>
      <c r="C46" s="6" t="s">
        <v>97</v>
      </c>
      <c r="D46" s="7" t="s">
        <v>75</v>
      </c>
      <c r="E46" s="46"/>
      <c r="F46" s="46"/>
      <c r="G46" s="46"/>
      <c r="H46" s="9">
        <f>H44+H45-H31</f>
        <v>0</v>
      </c>
      <c r="I46" s="59"/>
      <c r="J46" s="59"/>
      <c r="K46" s="46"/>
      <c r="L46" s="46"/>
      <c r="M46" s="46"/>
    </row>
    <row r="47" spans="2:13" x14ac:dyDescent="0.2">
      <c r="B47" s="46"/>
      <c r="C47" s="6" t="s">
        <v>98</v>
      </c>
      <c r="D47" s="7" t="s">
        <v>75</v>
      </c>
      <c r="E47" s="46"/>
      <c r="F47" s="46"/>
      <c r="G47" s="46"/>
      <c r="H47" s="9">
        <f>H45/AVERAGE(G29,H29)</f>
        <v>4.6340051948051633</v>
      </c>
      <c r="I47" s="59"/>
      <c r="J47" s="59"/>
      <c r="K47" s="46"/>
      <c r="L47" s="46"/>
      <c r="M47" s="46"/>
    </row>
    <row r="48" spans="2:13" x14ac:dyDescent="0.2">
      <c r="B48" s="46"/>
      <c r="C48" s="6" t="s">
        <v>99</v>
      </c>
      <c r="D48" s="7" t="s">
        <v>75</v>
      </c>
      <c r="E48" s="46"/>
      <c r="F48" s="46"/>
      <c r="G48" s="46"/>
      <c r="H48" s="9">
        <f>H44/AVERAGE(G30,H30)</f>
        <v>4.3974226285714364</v>
      </c>
      <c r="I48" s="59"/>
      <c r="J48" s="59"/>
      <c r="K48" s="46"/>
      <c r="L48" s="46"/>
      <c r="M48" s="46"/>
    </row>
    <row r="49" spans="2:13" x14ac:dyDescent="0.2">
      <c r="B49" s="46"/>
      <c r="C49" s="46"/>
      <c r="D49" s="46"/>
      <c r="E49" s="46"/>
      <c r="F49" s="46"/>
      <c r="G49" s="46"/>
      <c r="H49" s="46"/>
      <c r="I49" s="59"/>
      <c r="J49" s="59"/>
      <c r="K49" s="46"/>
      <c r="L49" s="46"/>
      <c r="M49" s="46"/>
    </row>
    <row r="50" spans="2:13" x14ac:dyDescent="0.2">
      <c r="B50" s="48" t="s">
        <v>100</v>
      </c>
      <c r="C50" s="49"/>
      <c r="D50" s="49"/>
      <c r="E50" s="49"/>
      <c r="F50" s="49"/>
      <c r="G50" s="49"/>
      <c r="H50" s="49"/>
      <c r="I50" s="60"/>
      <c r="J50" s="60"/>
      <c r="K50" s="46"/>
      <c r="L50" s="46"/>
      <c r="M50" s="46"/>
    </row>
    <row r="51" spans="2:13" x14ac:dyDescent="0.2">
      <c r="B51" s="46"/>
      <c r="C51" s="6" t="s">
        <v>101</v>
      </c>
      <c r="D51" s="7" t="s">
        <v>75</v>
      </c>
      <c r="E51" s="46"/>
      <c r="F51" s="46"/>
      <c r="G51" s="2">
        <v>119.1</v>
      </c>
      <c r="H51" s="2">
        <v>93.9</v>
      </c>
      <c r="I51" s="59"/>
      <c r="J51" s="59"/>
      <c r="K51" s="46"/>
      <c r="L51" s="46"/>
      <c r="M51" s="46"/>
    </row>
    <row r="52" spans="2:13" x14ac:dyDescent="0.2">
      <c r="B52" s="46"/>
      <c r="C52" s="6" t="s">
        <v>102</v>
      </c>
      <c r="D52" s="7" t="s">
        <v>75</v>
      </c>
      <c r="E52" s="46"/>
      <c r="F52" s="46"/>
      <c r="G52" s="2">
        <v>257</v>
      </c>
      <c r="H52" s="2">
        <v>213.5</v>
      </c>
      <c r="I52" s="59"/>
      <c r="J52" s="59"/>
      <c r="K52" s="46"/>
      <c r="L52" s="46"/>
      <c r="M52" s="46"/>
    </row>
    <row r="53" spans="2:13" x14ac:dyDescent="0.2">
      <c r="B53" s="46"/>
      <c r="C53" s="6" t="s">
        <v>103</v>
      </c>
      <c r="D53" s="7" t="s">
        <v>75</v>
      </c>
      <c r="E53" s="46"/>
      <c r="F53" s="46"/>
      <c r="G53" s="2">
        <v>137.9</v>
      </c>
      <c r="H53" s="2">
        <v>119.6</v>
      </c>
      <c r="I53" s="59"/>
      <c r="J53" s="59"/>
      <c r="K53" s="46"/>
      <c r="L53" s="46"/>
      <c r="M53" s="46"/>
    </row>
    <row r="54" spans="2:13" x14ac:dyDescent="0.2">
      <c r="B54" s="46"/>
      <c r="C54" s="6" t="s">
        <v>104</v>
      </c>
      <c r="D54" s="7" t="s">
        <v>75</v>
      </c>
      <c r="E54" s="46"/>
      <c r="F54" s="46"/>
      <c r="G54" s="2">
        <v>633.6</v>
      </c>
      <c r="H54" s="2">
        <v>630.5</v>
      </c>
      <c r="I54" s="59"/>
      <c r="J54" s="59"/>
      <c r="K54" s="46"/>
      <c r="L54" s="46"/>
      <c r="M54" s="46"/>
    </row>
    <row r="55" spans="2:13" x14ac:dyDescent="0.2">
      <c r="B55" s="46"/>
      <c r="C55" s="6" t="s">
        <v>105</v>
      </c>
      <c r="D55" s="7" t="s">
        <v>106</v>
      </c>
      <c r="E55" s="46"/>
      <c r="F55" s="46"/>
      <c r="G55" s="13">
        <v>0.93</v>
      </c>
      <c r="H55" s="13">
        <v>0.77</v>
      </c>
      <c r="I55" s="59"/>
      <c r="J55" s="59"/>
      <c r="K55" s="46"/>
      <c r="L55" s="46"/>
      <c r="M55" s="46"/>
    </row>
    <row r="56" spans="2:13" x14ac:dyDescent="0.2">
      <c r="B56" s="46"/>
      <c r="C56" s="6" t="s">
        <v>107</v>
      </c>
      <c r="D56" s="7" t="s">
        <v>75</v>
      </c>
      <c r="E56" s="46"/>
      <c r="F56" s="46"/>
      <c r="G56" s="2">
        <v>65.8</v>
      </c>
      <c r="H56" s="2">
        <v>51.9</v>
      </c>
      <c r="I56" s="59"/>
      <c r="J56" s="59"/>
      <c r="K56" s="46"/>
      <c r="L56" s="46"/>
      <c r="M56" s="46"/>
    </row>
    <row r="57" spans="2:13" x14ac:dyDescent="0.2">
      <c r="B57" s="46"/>
      <c r="C57" s="6" t="s">
        <v>108</v>
      </c>
      <c r="D57" s="7" t="s">
        <v>75</v>
      </c>
      <c r="E57" s="46"/>
      <c r="F57" s="46"/>
      <c r="G57" s="2">
        <v>2.2000000000000002</v>
      </c>
      <c r="H57" s="2">
        <v>2.5</v>
      </c>
      <c r="I57" s="59"/>
      <c r="J57" s="59"/>
      <c r="K57" s="46"/>
      <c r="L57" s="46"/>
      <c r="M57" s="46"/>
    </row>
    <row r="58" spans="2:13" x14ac:dyDescent="0.2">
      <c r="B58" s="46"/>
      <c r="C58" s="6" t="s">
        <v>109</v>
      </c>
      <c r="D58" s="7" t="s">
        <v>75</v>
      </c>
      <c r="E58" s="46"/>
      <c r="F58" s="46"/>
      <c r="G58" s="2">
        <v>27.9</v>
      </c>
      <c r="H58" s="2">
        <v>39.4</v>
      </c>
      <c r="I58" s="59"/>
      <c r="J58" s="59"/>
      <c r="K58" s="46"/>
      <c r="L58" s="46"/>
      <c r="M58" s="46"/>
    </row>
    <row r="59" spans="2:13" x14ac:dyDescent="0.2">
      <c r="B59" s="46"/>
      <c r="C59" s="6" t="s">
        <v>110</v>
      </c>
      <c r="D59" s="7" t="s">
        <v>75</v>
      </c>
      <c r="E59" s="46"/>
      <c r="F59" s="46"/>
      <c r="G59" s="2">
        <v>42.2</v>
      </c>
      <c r="H59" s="2">
        <v>57.9</v>
      </c>
      <c r="I59" s="59"/>
      <c r="J59" s="59"/>
      <c r="K59" s="46"/>
      <c r="L59" s="46"/>
      <c r="M59" s="46"/>
    </row>
    <row r="60" spans="2:13" x14ac:dyDescent="0.2">
      <c r="B60" s="46"/>
      <c r="C60" s="6" t="s">
        <v>111</v>
      </c>
      <c r="D60" s="7" t="s">
        <v>75</v>
      </c>
      <c r="E60" s="46"/>
      <c r="F60" s="46"/>
      <c r="G60" s="2">
        <v>32.200000000000003</v>
      </c>
      <c r="H60" s="2">
        <v>35</v>
      </c>
      <c r="I60" s="59"/>
      <c r="J60" s="59"/>
      <c r="K60" s="46"/>
      <c r="L60" s="46"/>
      <c r="M60" s="46"/>
    </row>
    <row r="61" spans="2:13" x14ac:dyDescent="0.2">
      <c r="B61" s="46"/>
      <c r="C61" s="6" t="s">
        <v>112</v>
      </c>
      <c r="D61" s="7" t="s">
        <v>75</v>
      </c>
      <c r="E61" s="46"/>
      <c r="F61" s="46"/>
      <c r="G61" s="2">
        <v>181.4</v>
      </c>
      <c r="H61" s="2">
        <v>150.1</v>
      </c>
      <c r="I61" s="59"/>
      <c r="J61" s="59"/>
      <c r="K61" s="46"/>
      <c r="L61" s="46"/>
      <c r="M61" s="46"/>
    </row>
    <row r="62" spans="2:13" x14ac:dyDescent="0.2">
      <c r="B62" s="46"/>
      <c r="C62" s="6" t="s">
        <v>113</v>
      </c>
      <c r="D62" s="7" t="s">
        <v>75</v>
      </c>
      <c r="E62" s="46"/>
      <c r="F62" s="46"/>
      <c r="G62" s="9">
        <f>G53+G54</f>
        <v>771.5</v>
      </c>
      <c r="H62" s="9">
        <f>H53+H54</f>
        <v>750.1</v>
      </c>
      <c r="I62" s="59"/>
      <c r="J62" s="59"/>
      <c r="K62" s="46"/>
      <c r="L62" s="46"/>
      <c r="M62" s="46"/>
    </row>
    <row r="63" spans="2:13" x14ac:dyDescent="0.2">
      <c r="B63" s="46"/>
      <c r="C63" s="46"/>
      <c r="D63" s="46"/>
      <c r="E63" s="46"/>
      <c r="F63" s="46"/>
      <c r="G63" s="46"/>
      <c r="H63" s="46"/>
      <c r="I63" s="59"/>
      <c r="J63" s="59"/>
      <c r="K63" s="46"/>
      <c r="L63" s="46"/>
      <c r="M63" s="46"/>
    </row>
    <row r="64" spans="2:13" x14ac:dyDescent="0.2">
      <c r="B64" s="48" t="s">
        <v>115</v>
      </c>
      <c r="C64" s="49"/>
      <c r="D64" s="49"/>
      <c r="E64" s="49"/>
      <c r="F64" s="49"/>
      <c r="G64" s="49"/>
      <c r="H64" s="49"/>
      <c r="I64" s="60"/>
      <c r="J64" s="60"/>
      <c r="K64" s="15" t="s">
        <v>116</v>
      </c>
      <c r="L64" s="46"/>
      <c r="M64" s="46"/>
    </row>
    <row r="65" spans="2:13" x14ac:dyDescent="0.2">
      <c r="B65" s="46"/>
      <c r="C65" s="6" t="s">
        <v>117</v>
      </c>
      <c r="D65" s="7" t="s">
        <v>81</v>
      </c>
      <c r="E65" s="46"/>
      <c r="F65" s="46"/>
      <c r="G65" s="46"/>
      <c r="H65" s="14">
        <f>1-H11/(H9-H15)</f>
        <v>0.2998859749144811</v>
      </c>
      <c r="I65" s="15" t="s">
        <v>118</v>
      </c>
      <c r="J65" s="59"/>
      <c r="K65" s="46"/>
      <c r="L65" s="46"/>
      <c r="M65" s="46"/>
    </row>
    <row r="66" spans="2:13" x14ac:dyDescent="0.2">
      <c r="B66" s="46"/>
      <c r="C66" s="6" t="s">
        <v>119</v>
      </c>
      <c r="D66" s="7" t="s">
        <v>75</v>
      </c>
      <c r="E66" s="46"/>
      <c r="F66" s="46"/>
      <c r="G66" s="46"/>
      <c r="H66" s="9">
        <f>H7-H8</f>
        <v>83.699999999999989</v>
      </c>
      <c r="I66" s="15" t="s">
        <v>120</v>
      </c>
      <c r="J66" s="59"/>
      <c r="K66" s="46"/>
      <c r="L66" s="46"/>
      <c r="M66" s="46"/>
    </row>
    <row r="67" spans="2:13" x14ac:dyDescent="0.2">
      <c r="B67" s="46"/>
      <c r="C67" s="6" t="s">
        <v>27</v>
      </c>
      <c r="D67" s="7" t="s">
        <v>75</v>
      </c>
      <c r="E67" s="46"/>
      <c r="F67" s="46"/>
      <c r="G67" s="46"/>
      <c r="H67" s="9">
        <f>(H7-H9)-(H8-H10)</f>
        <v>58.3</v>
      </c>
      <c r="I67" s="15" t="s">
        <v>121</v>
      </c>
      <c r="J67" s="59"/>
      <c r="K67" s="46"/>
      <c r="L67" s="46"/>
      <c r="M67" s="46"/>
    </row>
    <row r="68" spans="2:13" x14ac:dyDescent="0.2">
      <c r="B68" s="46"/>
      <c r="C68" s="6" t="s">
        <v>122</v>
      </c>
      <c r="D68" s="7" t="s">
        <v>75</v>
      </c>
      <c r="E68" s="46"/>
      <c r="F68" s="46"/>
      <c r="G68" s="46"/>
      <c r="H68" s="9">
        <f>H12/(1-H65)-H10+H15</f>
        <v>32.398859934853405</v>
      </c>
      <c r="I68" s="15" t="s">
        <v>123</v>
      </c>
      <c r="J68" s="59"/>
      <c r="K68" s="46"/>
      <c r="L68" s="46"/>
      <c r="M68" s="46"/>
    </row>
    <row r="69" spans="2:13" x14ac:dyDescent="0.2">
      <c r="B69" s="46"/>
      <c r="C69" s="6" t="s">
        <v>124</v>
      </c>
      <c r="D69" s="7" t="s">
        <v>75</v>
      </c>
      <c r="E69" s="46"/>
      <c r="F69" s="46"/>
      <c r="G69" s="46"/>
      <c r="H69" s="9">
        <f>H67+H68-H66</f>
        <v>6.9988599348534137</v>
      </c>
      <c r="I69" s="15" t="s">
        <v>125</v>
      </c>
      <c r="J69" s="59"/>
      <c r="K69" s="46"/>
      <c r="L69" s="46"/>
      <c r="M69" s="46"/>
    </row>
    <row r="70" spans="2:13" x14ac:dyDescent="0.2">
      <c r="B70" s="46"/>
      <c r="C70" s="6" t="s">
        <v>126</v>
      </c>
      <c r="D70" s="7" t="s">
        <v>81</v>
      </c>
      <c r="E70" s="46"/>
      <c r="F70" s="46"/>
      <c r="G70" s="46"/>
      <c r="H70" s="14">
        <f>H68/AVERAGE(G54,H54)</f>
        <v>5.1259963507401959E-2</v>
      </c>
      <c r="I70" s="15" t="s">
        <v>127</v>
      </c>
      <c r="J70" s="59"/>
      <c r="K70" s="46"/>
      <c r="L70" s="46"/>
      <c r="M70" s="46"/>
    </row>
    <row r="71" spans="2:13" x14ac:dyDescent="0.2">
      <c r="B71" s="46"/>
      <c r="C71" s="46"/>
      <c r="D71" s="46"/>
      <c r="E71" s="46"/>
      <c r="F71" s="46"/>
      <c r="G71" s="46"/>
      <c r="H71" s="46"/>
      <c r="I71" s="59"/>
      <c r="J71" s="59"/>
      <c r="K71" s="46"/>
      <c r="L71" s="46"/>
      <c r="M71" s="46"/>
    </row>
    <row r="72" spans="2:13" x14ac:dyDescent="0.2">
      <c r="B72" s="46"/>
      <c r="C72" s="46"/>
      <c r="D72" s="46"/>
      <c r="E72" s="46"/>
      <c r="F72" s="46"/>
      <c r="G72" s="46"/>
      <c r="H72" s="46"/>
      <c r="I72" s="59"/>
      <c r="J72" s="59"/>
      <c r="K72" s="46"/>
      <c r="L72" s="46"/>
      <c r="M72" s="46"/>
    </row>
    <row r="73" spans="2:13" x14ac:dyDescent="0.2">
      <c r="I73" s="61"/>
      <c r="J73" s="61"/>
    </row>
    <row r="74" spans="2:13" x14ac:dyDescent="0.2">
      <c r="I74" s="61"/>
      <c r="J74" s="61"/>
    </row>
    <row r="75" spans="2:13" x14ac:dyDescent="0.2">
      <c r="I75" s="61"/>
      <c r="J75" s="61"/>
    </row>
    <row r="76" spans="2:13" x14ac:dyDescent="0.2">
      <c r="I76" s="61"/>
      <c r="J76" s="61"/>
    </row>
    <row r="77" spans="2:13" x14ac:dyDescent="0.2">
      <c r="I77" s="61"/>
      <c r="J77" s="61"/>
    </row>
    <row r="78" spans="2:13" x14ac:dyDescent="0.2">
      <c r="I78" s="61"/>
      <c r="J78" s="61"/>
    </row>
    <row r="79" spans="2:13" x14ac:dyDescent="0.2">
      <c r="I79" s="61"/>
      <c r="J79" s="61"/>
    </row>
    <row r="80" spans="2:13" x14ac:dyDescent="0.2">
      <c r="I80" s="61"/>
      <c r="J80" s="61"/>
    </row>
    <row r="81" spans="9:10" x14ac:dyDescent="0.2">
      <c r="I81" s="61"/>
      <c r="J81" s="61"/>
    </row>
    <row r="82" spans="9:10" x14ac:dyDescent="0.2">
      <c r="I82" s="61"/>
      <c r="J82"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B5B06-D6C2-D24E-BF37-D4BBC272038B}">
  <dimension ref="B2:Q82"/>
  <sheetViews>
    <sheetView showGridLines="0" topLeftCell="A57" workbookViewId="0">
      <selection activeCell="N76" sqref="N76"/>
    </sheetView>
  </sheetViews>
  <sheetFormatPr baseColWidth="10" defaultRowHeight="16" x14ac:dyDescent="0.2"/>
  <cols>
    <col min="1" max="2" width="2.83203125" customWidth="1"/>
    <col min="3" max="3" width="50.83203125" customWidth="1"/>
    <col min="5" max="5" width="16.83203125" bestFit="1" customWidth="1"/>
    <col min="15" max="15" width="2.33203125" customWidth="1"/>
  </cols>
  <sheetData>
    <row r="2" spans="2:17" ht="20" x14ac:dyDescent="0.2">
      <c r="B2" s="45" t="s">
        <v>0</v>
      </c>
      <c r="C2" s="46"/>
      <c r="D2" s="46"/>
      <c r="E2" s="46"/>
      <c r="F2" s="46"/>
      <c r="G2" s="46"/>
      <c r="H2" s="46"/>
      <c r="I2" s="46"/>
      <c r="J2" s="46"/>
      <c r="K2" s="46"/>
      <c r="L2" s="46"/>
      <c r="M2" s="46"/>
      <c r="N2" s="46"/>
      <c r="O2" s="46"/>
      <c r="P2" s="46"/>
      <c r="Q2" s="46"/>
    </row>
    <row r="3" spans="2:17" x14ac:dyDescent="0.2">
      <c r="B3" s="46"/>
      <c r="C3" s="46"/>
      <c r="D3" s="46"/>
      <c r="E3" s="53"/>
      <c r="F3" s="53"/>
      <c r="G3" s="53"/>
      <c r="H3" s="53"/>
      <c r="I3" s="53"/>
      <c r="J3" s="53"/>
      <c r="K3" s="53"/>
      <c r="L3" s="53"/>
      <c r="M3" s="53"/>
      <c r="N3" s="53"/>
      <c r="O3" s="53"/>
      <c r="P3" s="46"/>
      <c r="Q3" s="46"/>
    </row>
    <row r="4" spans="2:17" x14ac:dyDescent="0.2">
      <c r="B4" s="46"/>
      <c r="C4" s="53" t="s">
        <v>1</v>
      </c>
      <c r="D4" s="46"/>
      <c r="E4" s="19" t="s">
        <v>63</v>
      </c>
      <c r="F4" s="19" t="s">
        <v>132</v>
      </c>
      <c r="G4" s="19" t="s">
        <v>133</v>
      </c>
      <c r="H4" s="19" t="s">
        <v>134</v>
      </c>
      <c r="I4" s="19" t="s">
        <v>135</v>
      </c>
      <c r="J4" s="19" t="s">
        <v>136</v>
      </c>
      <c r="K4" s="19" t="s">
        <v>298</v>
      </c>
      <c r="L4" s="19" t="s">
        <v>299</v>
      </c>
      <c r="M4" s="19" t="s">
        <v>300</v>
      </c>
      <c r="N4" s="19" t="s">
        <v>301</v>
      </c>
      <c r="O4" s="76"/>
      <c r="P4" s="17" t="s">
        <v>260</v>
      </c>
      <c r="Q4" s="46"/>
    </row>
    <row r="5" spans="2:17" x14ac:dyDescent="0.2">
      <c r="B5" s="46"/>
      <c r="C5" s="48" t="s">
        <v>2</v>
      </c>
      <c r="D5" s="71" t="s">
        <v>56</v>
      </c>
      <c r="E5" s="72"/>
      <c r="F5" s="72"/>
      <c r="G5" s="72"/>
      <c r="H5" s="72"/>
      <c r="I5" s="72"/>
      <c r="J5" s="72"/>
      <c r="K5" s="72"/>
      <c r="L5" s="72"/>
      <c r="M5" s="72"/>
      <c r="N5" s="72"/>
    </row>
    <row r="6" spans="2:17" x14ac:dyDescent="0.2">
      <c r="B6" s="46"/>
      <c r="C6" s="55" t="s">
        <v>3</v>
      </c>
      <c r="D6" s="73" t="s">
        <v>79</v>
      </c>
      <c r="E6" s="79">
        <f>Historicals!G19</f>
        <v>288</v>
      </c>
      <c r="F6" s="56">
        <f>E8</f>
        <v>295</v>
      </c>
      <c r="G6" s="56">
        <f t="shared" ref="G6:J6" si="0">F8</f>
        <v>301</v>
      </c>
      <c r="H6" s="56">
        <f t="shared" si="0"/>
        <v>307</v>
      </c>
      <c r="I6" s="56">
        <f t="shared" si="0"/>
        <v>313</v>
      </c>
      <c r="J6" s="56">
        <f t="shared" si="0"/>
        <v>319</v>
      </c>
      <c r="K6" s="56">
        <f t="shared" ref="K6:N6" si="1">J8</f>
        <v>325</v>
      </c>
      <c r="L6" s="56">
        <f t="shared" si="1"/>
        <v>330</v>
      </c>
      <c r="M6" s="56">
        <f t="shared" si="1"/>
        <v>334</v>
      </c>
      <c r="N6" s="56">
        <f t="shared" si="1"/>
        <v>337</v>
      </c>
      <c r="O6" s="56"/>
      <c r="Q6" s="46"/>
    </row>
    <row r="7" spans="2:17" x14ac:dyDescent="0.2">
      <c r="B7" s="46"/>
      <c r="C7" s="55" t="s">
        <v>4</v>
      </c>
      <c r="D7" s="73" t="s">
        <v>79</v>
      </c>
      <c r="E7" s="79">
        <f>Historicals!H19-Historicals!G19</f>
        <v>7</v>
      </c>
      <c r="F7" s="79">
        <f>Assumptions!E107</f>
        <v>6</v>
      </c>
      <c r="G7" s="79">
        <f>Assumptions!F107</f>
        <v>6</v>
      </c>
      <c r="H7" s="79">
        <f>Assumptions!G107</f>
        <v>6</v>
      </c>
      <c r="I7" s="79">
        <f>Assumptions!H107</f>
        <v>6</v>
      </c>
      <c r="J7" s="79">
        <f>Assumptions!I107</f>
        <v>6</v>
      </c>
      <c r="K7" s="79">
        <f>Assumptions!J107</f>
        <v>5</v>
      </c>
      <c r="L7" s="79">
        <f>Assumptions!K107</f>
        <v>4</v>
      </c>
      <c r="M7" s="79">
        <f>Assumptions!L107</f>
        <v>3</v>
      </c>
      <c r="N7" s="79">
        <f>Assumptions!M107</f>
        <v>3</v>
      </c>
      <c r="O7" s="79"/>
      <c r="P7" s="27" t="s">
        <v>261</v>
      </c>
      <c r="Q7" s="46"/>
    </row>
    <row r="8" spans="2:17" x14ac:dyDescent="0.2">
      <c r="B8" s="46"/>
      <c r="C8" s="55" t="s">
        <v>5</v>
      </c>
      <c r="D8" s="73" t="s">
        <v>79</v>
      </c>
      <c r="E8" s="56">
        <f>SUM(E6:E7)</f>
        <v>295</v>
      </c>
      <c r="F8" s="56">
        <f t="shared" ref="F8:J8" si="2">SUM(F6:F7)</f>
        <v>301</v>
      </c>
      <c r="G8" s="56">
        <f t="shared" si="2"/>
        <v>307</v>
      </c>
      <c r="H8" s="56">
        <f t="shared" si="2"/>
        <v>313</v>
      </c>
      <c r="I8" s="56">
        <f t="shared" si="2"/>
        <v>319</v>
      </c>
      <c r="J8" s="56">
        <f t="shared" si="2"/>
        <v>325</v>
      </c>
      <c r="K8" s="56">
        <f t="shared" ref="K8" si="3">SUM(K6:K7)</f>
        <v>330</v>
      </c>
      <c r="L8" s="56">
        <f t="shared" ref="L8" si="4">SUM(L6:L7)</f>
        <v>334</v>
      </c>
      <c r="M8" s="56">
        <f t="shared" ref="M8" si="5">SUM(M6:M7)</f>
        <v>337</v>
      </c>
      <c r="N8" s="56">
        <f t="shared" ref="N8" si="6">SUM(N6:N7)</f>
        <v>340</v>
      </c>
      <c r="O8" s="56"/>
      <c r="Q8" s="46"/>
    </row>
    <row r="9" spans="2:17" x14ac:dyDescent="0.2">
      <c r="B9" s="46"/>
      <c r="C9" s="55" t="s">
        <v>6</v>
      </c>
      <c r="D9" s="73" t="s">
        <v>79</v>
      </c>
      <c r="E9" s="56">
        <f>AVERAGE(E8,E6)</f>
        <v>291.5</v>
      </c>
      <c r="F9" s="56">
        <f t="shared" ref="F9:J9" si="7">AVERAGE(F8,F6)</f>
        <v>298</v>
      </c>
      <c r="G9" s="56">
        <f t="shared" si="7"/>
        <v>304</v>
      </c>
      <c r="H9" s="56">
        <f t="shared" si="7"/>
        <v>310</v>
      </c>
      <c r="I9" s="56">
        <f t="shared" si="7"/>
        <v>316</v>
      </c>
      <c r="J9" s="56">
        <f t="shared" si="7"/>
        <v>322</v>
      </c>
      <c r="K9" s="56">
        <f t="shared" ref="K9" si="8">AVERAGE(K8,K6)</f>
        <v>327.5</v>
      </c>
      <c r="L9" s="56">
        <f t="shared" ref="L9" si="9">AVERAGE(L8,L6)</f>
        <v>332</v>
      </c>
      <c r="M9" s="56">
        <f t="shared" ref="M9" si="10">AVERAGE(M8,M6)</f>
        <v>335.5</v>
      </c>
      <c r="N9" s="56">
        <f t="shared" ref="N9" si="11">AVERAGE(N8,N6)</f>
        <v>338.5</v>
      </c>
      <c r="O9" s="56"/>
      <c r="P9" s="27" t="s">
        <v>262</v>
      </c>
      <c r="Q9" s="46"/>
    </row>
    <row r="10" spans="2:17" x14ac:dyDescent="0.2">
      <c r="B10" s="46"/>
      <c r="C10" s="55" t="s">
        <v>7</v>
      </c>
      <c r="D10" s="73" t="s">
        <v>75</v>
      </c>
      <c r="E10" s="40">
        <f>Historicals!H20/Model!E9</f>
        <v>4.2583190394511146</v>
      </c>
      <c r="F10" s="80">
        <f>E10*(1+Assumptions!E108+Assumptions!E109*IF(Control!$D$8=1,1,0))</f>
        <v>4.4073602058319032</v>
      </c>
      <c r="G10" s="80">
        <f>F10*(1+Assumptions!F108+Assumptions!F109*IF(Control!$D$8=1,1,0))</f>
        <v>4.5175442109777002</v>
      </c>
      <c r="H10" s="80">
        <f>G10*(1+Assumptions!G108+Assumptions!G109*IF(Control!$D$8=1,1,0))</f>
        <v>4.6078950951972546</v>
      </c>
      <c r="I10" s="80">
        <f>H10*(1+Assumptions!H108+Assumptions!H109*IF(Control!$D$8=1,1,0))</f>
        <v>4.7000529971012002</v>
      </c>
      <c r="J10" s="80">
        <f>I10*(1+Assumptions!I108+Assumptions!I109*IF(Control!$D$8=1,1,0))</f>
        <v>4.7940540570432244</v>
      </c>
      <c r="K10" s="80">
        <f>J10*(1+Assumptions!J108+Assumptions!J109*IF(Control!$D$8=1,1,0))</f>
        <v>4.8899351381840885</v>
      </c>
      <c r="L10" s="80">
        <f>K10*(1+Assumptions!K108+Assumptions!K109*IF(Control!$D$8=1,1,0))</f>
        <v>4.9877338409477705</v>
      </c>
      <c r="M10" s="80">
        <f>L10*(1+Assumptions!L108+Assumptions!L109*IF(Control!$D$8=1,1,0))</f>
        <v>5.0874885177667259</v>
      </c>
      <c r="N10" s="80">
        <f>M10*(1+Assumptions!M108+Assumptions!M109*IF(Control!$D$8=1,1,0))</f>
        <v>5.1892382881220609</v>
      </c>
      <c r="O10" s="80"/>
      <c r="P10" s="27" t="s">
        <v>263</v>
      </c>
      <c r="Q10" s="46"/>
    </row>
    <row r="11" spans="2:17" x14ac:dyDescent="0.2">
      <c r="B11" s="46"/>
      <c r="C11" s="55" t="s">
        <v>8</v>
      </c>
      <c r="D11" s="73" t="s">
        <v>75</v>
      </c>
      <c r="E11" s="80">
        <v>0</v>
      </c>
      <c r="F11" s="80">
        <f>-E10*E9/53</f>
        <v>-23.420754716981133</v>
      </c>
      <c r="G11" s="80"/>
      <c r="H11" s="80"/>
      <c r="I11" s="80"/>
      <c r="J11" s="80"/>
      <c r="K11" s="80"/>
      <c r="L11" s="80"/>
      <c r="M11" s="80"/>
      <c r="N11" s="80"/>
      <c r="O11" s="80"/>
      <c r="P11" s="27" t="s">
        <v>264</v>
      </c>
      <c r="Q11" s="46"/>
    </row>
    <row r="12" spans="2:17" x14ac:dyDescent="0.2">
      <c r="B12" s="46"/>
      <c r="C12" s="62" t="s">
        <v>9</v>
      </c>
      <c r="D12" s="74" t="s">
        <v>75</v>
      </c>
      <c r="E12" s="82">
        <f>E9*E10+E11</f>
        <v>1241.3</v>
      </c>
      <c r="F12" s="82">
        <f t="shared" ref="F12:J12" si="12">F9*F10+F11</f>
        <v>1289.9725866209262</v>
      </c>
      <c r="G12" s="82">
        <f t="shared" si="12"/>
        <v>1373.3334401372208</v>
      </c>
      <c r="H12" s="82">
        <f t="shared" si="12"/>
        <v>1428.4474795111489</v>
      </c>
      <c r="I12" s="82">
        <f t="shared" si="12"/>
        <v>1485.2167470839793</v>
      </c>
      <c r="J12" s="82">
        <f t="shared" si="12"/>
        <v>1543.6854063679182</v>
      </c>
      <c r="K12" s="82">
        <f t="shared" ref="K12" si="13">K9*K10+K11</f>
        <v>1601.453757755289</v>
      </c>
      <c r="L12" s="82">
        <f t="shared" ref="L12" si="14">L9*L10+L11</f>
        <v>1655.9276351946598</v>
      </c>
      <c r="M12" s="82">
        <f t="shared" ref="M12" si="15">M9*M10+M11</f>
        <v>1706.8523977107366</v>
      </c>
      <c r="N12" s="82">
        <f t="shared" ref="N12" si="16">N9*N10+N11</f>
        <v>1756.5571605293176</v>
      </c>
      <c r="O12" s="86"/>
      <c r="Q12" s="46"/>
    </row>
    <row r="13" spans="2:17" x14ac:dyDescent="0.2">
      <c r="B13" s="46"/>
      <c r="C13" s="55" t="s">
        <v>10</v>
      </c>
      <c r="D13" s="73" t="s">
        <v>75</v>
      </c>
      <c r="E13" s="40">
        <f>Historicals!H22</f>
        <v>260.5</v>
      </c>
      <c r="F13" s="80">
        <f>F12*Assumptions!E110</f>
        <v>265.73435284391081</v>
      </c>
      <c r="G13" s="80">
        <f>G12*Assumptions!F110</f>
        <v>281.53335522813023</v>
      </c>
      <c r="H13" s="80">
        <f>H12*Assumptions!G110</f>
        <v>291.40328582027433</v>
      </c>
      <c r="I13" s="80">
        <f>I12*Assumptions!H110</f>
        <v>302.98421640513175</v>
      </c>
      <c r="J13" s="80">
        <f>J12*Assumptions!I110</f>
        <v>314.91182289905527</v>
      </c>
      <c r="K13" s="80">
        <f>K12*Assumptions!J110</f>
        <v>326.6965665820789</v>
      </c>
      <c r="L13" s="80">
        <f>L12*Assumptions!K110</f>
        <v>337.80923757971061</v>
      </c>
      <c r="M13" s="80">
        <f>M12*Assumptions!L110</f>
        <v>348.19788913299021</v>
      </c>
      <c r="N13" s="80">
        <f>N12*Assumptions!M110</f>
        <v>358.33766074798075</v>
      </c>
      <c r="O13" s="80"/>
      <c r="Q13" s="46"/>
    </row>
    <row r="14" spans="2:17" x14ac:dyDescent="0.2">
      <c r="B14" s="46"/>
      <c r="C14" s="55" t="s">
        <v>11</v>
      </c>
      <c r="D14" s="73" t="s">
        <v>75</v>
      </c>
      <c r="E14" s="80">
        <f>-(Historicals!H22-Historicals!H24)</f>
        <v>-23.400000000000006</v>
      </c>
      <c r="F14" s="80">
        <f>-F12*Assumptions!E111</f>
        <v>-25.799451732418525</v>
      </c>
      <c r="G14" s="80">
        <f>-G12*Assumptions!F111</f>
        <v>-27.466668802744415</v>
      </c>
      <c r="H14" s="80">
        <f>-H12*Assumptions!G111</f>
        <v>-28.283260094320752</v>
      </c>
      <c r="I14" s="80">
        <f>-I12*Assumptions!H111</f>
        <v>-29.407291592262791</v>
      </c>
      <c r="J14" s="80">
        <f>-J12*Assumptions!I111</f>
        <v>-30.564971046084782</v>
      </c>
      <c r="K14" s="80">
        <f>-K12*Assumptions!J111</f>
        <v>-31.708784403554723</v>
      </c>
      <c r="L14" s="80">
        <f>-L12*Assumptions!K111</f>
        <v>-32.787367176854268</v>
      </c>
      <c r="M14" s="80">
        <f>-M12*Assumptions!L111</f>
        <v>-33.795677474672587</v>
      </c>
      <c r="N14" s="80">
        <f>-N12*Assumptions!M111</f>
        <v>-34.779831778480492</v>
      </c>
      <c r="O14" s="80"/>
      <c r="Q14" s="46"/>
    </row>
    <row r="15" spans="2:17" x14ac:dyDescent="0.2">
      <c r="B15" s="46"/>
      <c r="C15" s="63" t="s">
        <v>12</v>
      </c>
      <c r="D15" s="74" t="s">
        <v>75</v>
      </c>
      <c r="E15" s="82">
        <f>SUM(E13:E14)</f>
        <v>237.1</v>
      </c>
      <c r="F15" s="82">
        <f t="shared" ref="F15:J15" si="17">SUM(F13:F14)</f>
        <v>239.93490111149228</v>
      </c>
      <c r="G15" s="82">
        <f t="shared" si="17"/>
        <v>254.06668642538583</v>
      </c>
      <c r="H15" s="82">
        <f t="shared" si="17"/>
        <v>263.12002572595361</v>
      </c>
      <c r="I15" s="82">
        <f t="shared" si="17"/>
        <v>273.57692481286898</v>
      </c>
      <c r="J15" s="82">
        <f t="shared" si="17"/>
        <v>284.34685185297047</v>
      </c>
      <c r="K15" s="82">
        <f t="shared" ref="K15" si="18">SUM(K13:K14)</f>
        <v>294.98778217852418</v>
      </c>
      <c r="L15" s="82">
        <f t="shared" ref="L15" si="19">SUM(L13:L14)</f>
        <v>305.02187040285634</v>
      </c>
      <c r="M15" s="82">
        <f t="shared" ref="M15" si="20">SUM(M13:M14)</f>
        <v>314.40221165831764</v>
      </c>
      <c r="N15" s="82">
        <f t="shared" ref="N15" si="21">SUM(N13:N14)</f>
        <v>323.55782896950024</v>
      </c>
      <c r="O15" s="86"/>
      <c r="Q15" s="46"/>
    </row>
    <row r="16" spans="2:17" x14ac:dyDescent="0.2">
      <c r="B16" s="46"/>
      <c r="C16" s="46"/>
      <c r="D16" s="73"/>
      <c r="E16" s="56"/>
      <c r="F16" s="56"/>
      <c r="G16" s="56"/>
      <c r="H16" s="56"/>
      <c r="I16" s="56"/>
      <c r="J16" s="56"/>
      <c r="K16" s="56"/>
      <c r="L16" s="56"/>
      <c r="M16" s="56"/>
      <c r="N16" s="56"/>
      <c r="O16" s="56"/>
      <c r="Q16" s="46"/>
    </row>
    <row r="17" spans="2:17" x14ac:dyDescent="0.2">
      <c r="B17" s="46"/>
      <c r="C17" s="48" t="s">
        <v>13</v>
      </c>
      <c r="D17" s="75"/>
      <c r="E17" s="77"/>
      <c r="F17" s="77"/>
      <c r="G17" s="77"/>
      <c r="H17" s="77"/>
      <c r="I17" s="77"/>
      <c r="J17" s="72"/>
      <c r="K17" s="72"/>
      <c r="L17" s="72"/>
      <c r="M17" s="72"/>
      <c r="N17" s="72"/>
      <c r="Q17" s="46"/>
    </row>
    <row r="18" spans="2:17" x14ac:dyDescent="0.2">
      <c r="B18" s="46"/>
      <c r="C18" s="55" t="s">
        <v>3</v>
      </c>
      <c r="D18" s="73" t="s">
        <v>79</v>
      </c>
      <c r="E18" s="79">
        <f>Historicals!G29</f>
        <v>16</v>
      </c>
      <c r="F18" s="56">
        <f>E20</f>
        <v>17</v>
      </c>
      <c r="G18" s="56">
        <f t="shared" ref="G18:J18" si="22">F20</f>
        <v>28</v>
      </c>
      <c r="H18" s="56">
        <f t="shared" si="22"/>
        <v>33</v>
      </c>
      <c r="I18" s="56">
        <f t="shared" si="22"/>
        <v>38</v>
      </c>
      <c r="J18" s="56">
        <f t="shared" si="22"/>
        <v>43</v>
      </c>
      <c r="K18" s="56">
        <f t="shared" ref="K18:N18" si="23">J20</f>
        <v>48</v>
      </c>
      <c r="L18" s="56">
        <f t="shared" si="23"/>
        <v>52</v>
      </c>
      <c r="M18" s="56">
        <f t="shared" si="23"/>
        <v>55</v>
      </c>
      <c r="N18" s="56">
        <f t="shared" si="23"/>
        <v>57</v>
      </c>
      <c r="Q18" s="46"/>
    </row>
    <row r="19" spans="2:17" x14ac:dyDescent="0.2">
      <c r="B19" s="46"/>
      <c r="C19" s="55" t="s">
        <v>4</v>
      </c>
      <c r="D19" s="73" t="s">
        <v>79</v>
      </c>
      <c r="E19" s="79">
        <f>Historicals!H29-Historicals!G29</f>
        <v>1</v>
      </c>
      <c r="F19" s="79">
        <f>Assumptions!E113</f>
        <v>11</v>
      </c>
      <c r="G19" s="79">
        <f>Assumptions!F113</f>
        <v>5</v>
      </c>
      <c r="H19" s="79">
        <f>Assumptions!G113</f>
        <v>5</v>
      </c>
      <c r="I19" s="79">
        <f>Assumptions!H113</f>
        <v>5</v>
      </c>
      <c r="J19" s="79">
        <f>Assumptions!I113</f>
        <v>5</v>
      </c>
      <c r="K19" s="79">
        <f>Assumptions!J113</f>
        <v>4</v>
      </c>
      <c r="L19" s="79">
        <f>Assumptions!K113</f>
        <v>3</v>
      </c>
      <c r="M19" s="79">
        <f>Assumptions!L113</f>
        <v>2</v>
      </c>
      <c r="N19" s="79">
        <f>Assumptions!M113</f>
        <v>2</v>
      </c>
      <c r="O19" s="79"/>
      <c r="P19" s="27" t="s">
        <v>265</v>
      </c>
      <c r="Q19" s="46"/>
    </row>
    <row r="20" spans="2:17" x14ac:dyDescent="0.2">
      <c r="B20" s="46"/>
      <c r="C20" s="55" t="s">
        <v>5</v>
      </c>
      <c r="D20" s="73" t="s">
        <v>79</v>
      </c>
      <c r="E20" s="56">
        <f>E18+E19</f>
        <v>17</v>
      </c>
      <c r="F20" s="56">
        <f t="shared" ref="F20:J20" si="24">F18+F19</f>
        <v>28</v>
      </c>
      <c r="G20" s="56">
        <f t="shared" si="24"/>
        <v>33</v>
      </c>
      <c r="H20" s="56">
        <f t="shared" si="24"/>
        <v>38</v>
      </c>
      <c r="I20" s="56">
        <f t="shared" si="24"/>
        <v>43</v>
      </c>
      <c r="J20" s="56">
        <f t="shared" si="24"/>
        <v>48</v>
      </c>
      <c r="K20" s="56">
        <f t="shared" ref="K20" si="25">K18+K19</f>
        <v>52</v>
      </c>
      <c r="L20" s="56">
        <f t="shared" ref="L20" si="26">L18+L19</f>
        <v>55</v>
      </c>
      <c r="M20" s="56">
        <f t="shared" ref="M20" si="27">M18+M19</f>
        <v>57</v>
      </c>
      <c r="N20" s="56">
        <f t="shared" ref="N20" si="28">N18+N19</f>
        <v>59</v>
      </c>
      <c r="O20" s="56"/>
      <c r="Q20" s="46"/>
    </row>
    <row r="21" spans="2:17" x14ac:dyDescent="0.2">
      <c r="B21" s="46"/>
      <c r="C21" s="55" t="s">
        <v>6</v>
      </c>
      <c r="D21" s="73" t="s">
        <v>79</v>
      </c>
      <c r="E21" s="56">
        <f>AVERAGE(E20,E18)</f>
        <v>16.5</v>
      </c>
      <c r="F21" s="56">
        <f t="shared" ref="F21:J21" si="29">AVERAGE(F20,F18)</f>
        <v>22.5</v>
      </c>
      <c r="G21" s="56">
        <f t="shared" si="29"/>
        <v>30.5</v>
      </c>
      <c r="H21" s="56">
        <f t="shared" si="29"/>
        <v>35.5</v>
      </c>
      <c r="I21" s="56">
        <f t="shared" si="29"/>
        <v>40.5</v>
      </c>
      <c r="J21" s="56">
        <f t="shared" si="29"/>
        <v>45.5</v>
      </c>
      <c r="K21" s="56">
        <f t="shared" ref="K21" si="30">AVERAGE(K20,K18)</f>
        <v>50</v>
      </c>
      <c r="L21" s="56">
        <f t="shared" ref="L21" si="31">AVERAGE(L20,L18)</f>
        <v>53.5</v>
      </c>
      <c r="M21" s="56">
        <f t="shared" ref="M21" si="32">AVERAGE(M20,M18)</f>
        <v>56</v>
      </c>
      <c r="N21" s="56">
        <f t="shared" ref="N21" si="33">AVERAGE(N20,N18)</f>
        <v>58</v>
      </c>
      <c r="O21" s="56"/>
      <c r="Q21" s="46"/>
    </row>
    <row r="22" spans="2:17" x14ac:dyDescent="0.2">
      <c r="B22" s="46"/>
      <c r="C22" s="55" t="s">
        <v>7</v>
      </c>
      <c r="D22" s="73" t="s">
        <v>75</v>
      </c>
      <c r="E22" s="40">
        <f>Historicals!H45/Model!E21</f>
        <v>4.6340051948051633</v>
      </c>
      <c r="F22" s="80">
        <f>E22*(1+Assumptions!E115)</f>
        <v>4.4023049350649046</v>
      </c>
      <c r="G22" s="80">
        <f>F22*(1+Assumptions!F115)</f>
        <v>4.4023049350649046</v>
      </c>
      <c r="H22" s="80">
        <f>G22*(1+Assumptions!G115)</f>
        <v>4.4463279844155537</v>
      </c>
      <c r="I22" s="80">
        <f>H22*(1+Assumptions!H115)</f>
        <v>4.5130229041817866</v>
      </c>
      <c r="J22" s="80">
        <f>I22*(1+Assumptions!I115)</f>
        <v>4.580718247744513</v>
      </c>
      <c r="K22" s="80">
        <f>J22*(1+Assumptions!J115)</f>
        <v>4.6494290214606799</v>
      </c>
      <c r="L22" s="80">
        <f>K22*(1+Assumptions!K115)</f>
        <v>4.7191704567825896</v>
      </c>
      <c r="M22" s="80">
        <f>L22*(1+Assumptions!L115)</f>
        <v>4.7899580136343278</v>
      </c>
      <c r="N22" s="80">
        <f>M22*(1+Assumptions!M115)</f>
        <v>4.8618073838388423</v>
      </c>
      <c r="O22" s="80"/>
      <c r="P22" s="27" t="s">
        <v>266</v>
      </c>
      <c r="Q22" s="46"/>
    </row>
    <row r="23" spans="2:17" x14ac:dyDescent="0.2">
      <c r="B23" s="46"/>
      <c r="C23" s="62" t="s">
        <v>9</v>
      </c>
      <c r="D23" s="74" t="s">
        <v>75</v>
      </c>
      <c r="E23" s="82">
        <f>E22*E21</f>
        <v>76.46108571428519</v>
      </c>
      <c r="F23" s="82">
        <f t="shared" ref="F23:J23" si="34">F22*F21</f>
        <v>99.051861038960354</v>
      </c>
      <c r="G23" s="82">
        <f t="shared" si="34"/>
        <v>134.27030051947958</v>
      </c>
      <c r="H23" s="82">
        <f t="shared" si="34"/>
        <v>157.84464344675214</v>
      </c>
      <c r="I23" s="82">
        <f t="shared" si="34"/>
        <v>182.77742761936236</v>
      </c>
      <c r="J23" s="82">
        <f t="shared" si="34"/>
        <v>208.42268027237535</v>
      </c>
      <c r="K23" s="82">
        <f t="shared" ref="K23" si="35">K22*K21</f>
        <v>232.47145107303399</v>
      </c>
      <c r="L23" s="82">
        <f t="shared" ref="L23" si="36">L22*L21</f>
        <v>252.47561943786854</v>
      </c>
      <c r="M23" s="82">
        <f t="shared" ref="M23" si="37">M22*M21</f>
        <v>268.23764876352237</v>
      </c>
      <c r="N23" s="82">
        <f t="shared" ref="N23" si="38">N22*N21</f>
        <v>281.98482826265285</v>
      </c>
      <c r="O23" s="86"/>
      <c r="Q23" s="46"/>
    </row>
    <row r="24" spans="2:17" x14ac:dyDescent="0.2">
      <c r="B24" s="46"/>
      <c r="C24" s="46"/>
      <c r="D24" s="73"/>
      <c r="E24" s="56"/>
      <c r="F24" s="56"/>
      <c r="G24" s="56"/>
      <c r="H24" s="56"/>
      <c r="I24" s="56"/>
      <c r="J24" s="56"/>
      <c r="K24" s="56"/>
      <c r="L24" s="56"/>
      <c r="M24" s="56"/>
      <c r="N24" s="56"/>
      <c r="O24" s="56"/>
      <c r="Q24" s="46"/>
    </row>
    <row r="25" spans="2:17" x14ac:dyDescent="0.2">
      <c r="B25" s="46"/>
      <c r="C25" s="48" t="s">
        <v>14</v>
      </c>
      <c r="D25" s="75"/>
      <c r="E25" s="77"/>
      <c r="F25" s="77"/>
      <c r="G25" s="77"/>
      <c r="H25" s="77"/>
      <c r="I25" s="77"/>
      <c r="J25" s="72"/>
      <c r="K25" s="72"/>
      <c r="L25" s="72"/>
      <c r="M25" s="72"/>
      <c r="N25" s="72"/>
      <c r="Q25" s="46"/>
    </row>
    <row r="26" spans="2:17" x14ac:dyDescent="0.2">
      <c r="B26" s="46"/>
      <c r="C26" s="55" t="s">
        <v>3</v>
      </c>
      <c r="D26" s="73" t="s">
        <v>79</v>
      </c>
      <c r="E26" s="79">
        <f>Historicals!G30</f>
        <v>62</v>
      </c>
      <c r="F26" s="56">
        <f>E28</f>
        <v>63</v>
      </c>
      <c r="G26" s="56">
        <f t="shared" ref="G26:J26" si="39">F28</f>
        <v>63</v>
      </c>
      <c r="H26" s="56">
        <f t="shared" si="39"/>
        <v>63</v>
      </c>
      <c r="I26" s="56">
        <f t="shared" si="39"/>
        <v>63</v>
      </c>
      <c r="J26" s="56">
        <f t="shared" si="39"/>
        <v>63</v>
      </c>
      <c r="K26" s="56">
        <f t="shared" ref="K26:N26" si="40">J28</f>
        <v>63</v>
      </c>
      <c r="L26" s="56">
        <f t="shared" si="40"/>
        <v>63</v>
      </c>
      <c r="M26" s="56">
        <f t="shared" si="40"/>
        <v>63</v>
      </c>
      <c r="N26" s="56">
        <f t="shared" si="40"/>
        <v>63</v>
      </c>
      <c r="O26" s="56"/>
      <c r="Q26" s="46"/>
    </row>
    <row r="27" spans="2:17" x14ac:dyDescent="0.2">
      <c r="B27" s="46"/>
      <c r="C27" s="55" t="s">
        <v>4</v>
      </c>
      <c r="D27" s="73" t="s">
        <v>79</v>
      </c>
      <c r="E27" s="79">
        <f>Historicals!H30-Historicals!G30</f>
        <v>1</v>
      </c>
      <c r="F27" s="79">
        <f>Assumptions!E117</f>
        <v>0</v>
      </c>
      <c r="G27" s="79">
        <f>Assumptions!F117</f>
        <v>0</v>
      </c>
      <c r="H27" s="79">
        <f>Assumptions!G117</f>
        <v>0</v>
      </c>
      <c r="I27" s="79">
        <f>Assumptions!H117</f>
        <v>0</v>
      </c>
      <c r="J27" s="79">
        <f>Assumptions!I117</f>
        <v>0</v>
      </c>
      <c r="K27" s="79">
        <f>Assumptions!J117</f>
        <v>0</v>
      </c>
      <c r="L27" s="79">
        <f>Assumptions!K117</f>
        <v>0</v>
      </c>
      <c r="M27" s="79">
        <f>Assumptions!L117</f>
        <v>0</v>
      </c>
      <c r="N27" s="79">
        <f>Assumptions!M117</f>
        <v>0</v>
      </c>
      <c r="O27" s="79"/>
      <c r="Q27" s="46"/>
    </row>
    <row r="28" spans="2:17" x14ac:dyDescent="0.2">
      <c r="B28" s="46"/>
      <c r="C28" s="55" t="s">
        <v>5</v>
      </c>
      <c r="D28" s="73" t="s">
        <v>79</v>
      </c>
      <c r="E28" s="56">
        <f>E26+E27</f>
        <v>63</v>
      </c>
      <c r="F28" s="56">
        <f t="shared" ref="F28:J28" si="41">F26+F27</f>
        <v>63</v>
      </c>
      <c r="G28" s="56">
        <f t="shared" si="41"/>
        <v>63</v>
      </c>
      <c r="H28" s="56">
        <f t="shared" si="41"/>
        <v>63</v>
      </c>
      <c r="I28" s="56">
        <f t="shared" si="41"/>
        <v>63</v>
      </c>
      <c r="J28" s="56">
        <f t="shared" si="41"/>
        <v>63</v>
      </c>
      <c r="K28" s="56">
        <f t="shared" ref="K28" si="42">K26+K27</f>
        <v>63</v>
      </c>
      <c r="L28" s="56">
        <f t="shared" ref="L28" si="43">L26+L27</f>
        <v>63</v>
      </c>
      <c r="M28" s="56">
        <f t="shared" ref="M28" si="44">M26+M27</f>
        <v>63</v>
      </c>
      <c r="N28" s="56">
        <f t="shared" ref="N28" si="45">N26+N27</f>
        <v>63</v>
      </c>
      <c r="O28" s="56"/>
      <c r="Q28" s="46"/>
    </row>
    <row r="29" spans="2:17" x14ac:dyDescent="0.2">
      <c r="B29" s="46"/>
      <c r="C29" s="55" t="s">
        <v>6</v>
      </c>
      <c r="D29" s="73" t="s">
        <v>79</v>
      </c>
      <c r="E29" s="56">
        <f>AVERAGE(E28,E26)</f>
        <v>62.5</v>
      </c>
      <c r="F29" s="56">
        <f t="shared" ref="F29:J29" si="46">AVERAGE(F28,F26)</f>
        <v>63</v>
      </c>
      <c r="G29" s="56">
        <f t="shared" si="46"/>
        <v>63</v>
      </c>
      <c r="H29" s="56">
        <f t="shared" si="46"/>
        <v>63</v>
      </c>
      <c r="I29" s="56">
        <f t="shared" si="46"/>
        <v>63</v>
      </c>
      <c r="J29" s="56">
        <f t="shared" si="46"/>
        <v>63</v>
      </c>
      <c r="K29" s="56">
        <f t="shared" ref="K29" si="47">AVERAGE(K28,K26)</f>
        <v>63</v>
      </c>
      <c r="L29" s="56">
        <f t="shared" ref="L29" si="48">AVERAGE(L28,L26)</f>
        <v>63</v>
      </c>
      <c r="M29" s="56">
        <f t="shared" ref="M29" si="49">AVERAGE(M28,M26)</f>
        <v>63</v>
      </c>
      <c r="N29" s="56">
        <f t="shared" ref="N29" si="50">AVERAGE(N28,N26)</f>
        <v>63</v>
      </c>
      <c r="O29" s="56"/>
      <c r="Q29" s="46"/>
    </row>
    <row r="30" spans="2:17" x14ac:dyDescent="0.2">
      <c r="B30" s="46"/>
      <c r="C30" s="55" t="s">
        <v>7</v>
      </c>
      <c r="D30" s="73" t="s">
        <v>75</v>
      </c>
      <c r="E30" s="40">
        <f>Historicals!H44/Model!E29</f>
        <v>4.3974226285714364</v>
      </c>
      <c r="F30" s="80">
        <f>E30*(1+Assumptions!E118)</f>
        <v>4.177551497142864</v>
      </c>
      <c r="G30" s="80">
        <f>F30*(1+Assumptions!F118)</f>
        <v>4.1357759821714355</v>
      </c>
      <c r="H30" s="80">
        <f>G30*(1+Assumptions!G118)</f>
        <v>4.1564548620822919</v>
      </c>
      <c r="I30" s="80">
        <f>H30*(1+Assumptions!H118)</f>
        <v>4.1980194107031146</v>
      </c>
      <c r="J30" s="80">
        <f>I30*(1+Assumptions!I118)</f>
        <v>4.239999604810146</v>
      </c>
      <c r="K30" s="80">
        <f>J30*(1+Assumptions!J118)</f>
        <v>4.2823996008582474</v>
      </c>
      <c r="L30" s="80">
        <f>K30*(1+Assumptions!K118)</f>
        <v>4.32522359686683</v>
      </c>
      <c r="M30" s="80">
        <f>L30*(1+Assumptions!L118)</f>
        <v>4.3684758328354985</v>
      </c>
      <c r="N30" s="80">
        <f>M30*(1+Assumptions!M118)</f>
        <v>4.4121605911638531</v>
      </c>
      <c r="O30" s="80"/>
      <c r="P30" s="27" t="s">
        <v>267</v>
      </c>
      <c r="Q30" s="46"/>
    </row>
    <row r="31" spans="2:17" x14ac:dyDescent="0.2">
      <c r="B31" s="46"/>
      <c r="C31" s="62" t="s">
        <v>9</v>
      </c>
      <c r="D31" s="74" t="s">
        <v>75</v>
      </c>
      <c r="E31" s="82">
        <f>E30*E29</f>
        <v>274.83891428571479</v>
      </c>
      <c r="F31" s="82">
        <f t="shared" ref="F31:J31" si="51">F30*F29</f>
        <v>263.18574432000042</v>
      </c>
      <c r="G31" s="82">
        <f t="shared" si="51"/>
        <v>260.55388687680045</v>
      </c>
      <c r="H31" s="82">
        <f t="shared" si="51"/>
        <v>261.85665631118439</v>
      </c>
      <c r="I31" s="82">
        <f t="shared" si="51"/>
        <v>264.47522287429621</v>
      </c>
      <c r="J31" s="82">
        <f t="shared" si="51"/>
        <v>267.11997510303922</v>
      </c>
      <c r="K31" s="82">
        <f t="shared" ref="K31" si="52">K30*K29</f>
        <v>269.7911748540696</v>
      </c>
      <c r="L31" s="82">
        <f t="shared" ref="L31" si="53">L30*L29</f>
        <v>272.48908660261031</v>
      </c>
      <c r="M31" s="82">
        <f t="shared" ref="M31" si="54">M30*M29</f>
        <v>275.21397746863641</v>
      </c>
      <c r="N31" s="82">
        <f t="shared" ref="N31" si="55">N30*N29</f>
        <v>277.96611724332274</v>
      </c>
      <c r="O31" s="86"/>
      <c r="Q31" s="46"/>
    </row>
    <row r="32" spans="2:17" x14ac:dyDescent="0.2">
      <c r="B32" s="46"/>
      <c r="C32" s="46"/>
      <c r="D32" s="73"/>
      <c r="E32" s="56"/>
      <c r="F32" s="56"/>
      <c r="G32" s="56"/>
      <c r="H32" s="56"/>
      <c r="I32" s="56"/>
      <c r="J32" s="56"/>
      <c r="K32" s="56"/>
      <c r="L32" s="56"/>
      <c r="M32" s="56"/>
      <c r="N32" s="56"/>
      <c r="O32" s="56"/>
      <c r="Q32" s="46"/>
    </row>
    <row r="33" spans="2:17" x14ac:dyDescent="0.2">
      <c r="B33" s="46"/>
      <c r="C33" s="48" t="s">
        <v>15</v>
      </c>
      <c r="D33" s="75"/>
      <c r="E33" s="77"/>
      <c r="F33" s="77"/>
      <c r="G33" s="77"/>
      <c r="H33" s="77"/>
      <c r="I33" s="77"/>
      <c r="J33" s="72"/>
      <c r="K33" s="72"/>
      <c r="L33" s="72"/>
      <c r="M33" s="72"/>
      <c r="N33" s="72"/>
    </row>
    <row r="34" spans="2:17" x14ac:dyDescent="0.2">
      <c r="B34" s="46"/>
      <c r="C34" s="55" t="s">
        <v>9</v>
      </c>
      <c r="D34" s="73" t="s">
        <v>75</v>
      </c>
      <c r="E34" s="80">
        <f>E23+E31</f>
        <v>351.29999999999995</v>
      </c>
      <c r="F34" s="80">
        <f t="shared" ref="F34:J34" si="56">F23+F31</f>
        <v>362.23760535896076</v>
      </c>
      <c r="G34" s="80">
        <f t="shared" si="56"/>
        <v>394.82418739628002</v>
      </c>
      <c r="H34" s="80">
        <f t="shared" si="56"/>
        <v>419.70129975793657</v>
      </c>
      <c r="I34" s="80">
        <f t="shared" si="56"/>
        <v>447.25265049365856</v>
      </c>
      <c r="J34" s="80">
        <f t="shared" si="56"/>
        <v>475.5426553754146</v>
      </c>
      <c r="K34" s="80">
        <f t="shared" ref="K34:N34" si="57">K23+K31</f>
        <v>502.26262592710361</v>
      </c>
      <c r="L34" s="80">
        <f t="shared" si="57"/>
        <v>524.96470604047886</v>
      </c>
      <c r="M34" s="80">
        <f t="shared" si="57"/>
        <v>543.45162623215879</v>
      </c>
      <c r="N34" s="80">
        <f t="shared" si="57"/>
        <v>559.9509455059756</v>
      </c>
    </row>
    <row r="35" spans="2:17" x14ac:dyDescent="0.2">
      <c r="B35" s="46"/>
      <c r="C35" s="55" t="s">
        <v>10</v>
      </c>
      <c r="D35" s="73" t="s">
        <v>75</v>
      </c>
      <c r="E35" s="40">
        <f>E34*Historicals!H33</f>
        <v>67.800899999999999</v>
      </c>
      <c r="F35" s="80">
        <f>F34*Assumptions!E120</f>
        <v>67.013956991407738</v>
      </c>
      <c r="G35" s="80">
        <f>G34*Assumptions!F120</f>
        <v>73.042474668311797</v>
      </c>
      <c r="H35" s="80">
        <f>H34*Assumptions!G120</f>
        <v>77.644740455218269</v>
      </c>
      <c r="I35" s="80">
        <f>I34*Assumptions!H120</f>
        <v>82.741740341326832</v>
      </c>
      <c r="J35" s="80">
        <f>J34*Assumptions!I120</f>
        <v>87.9753912444517</v>
      </c>
      <c r="K35" s="80">
        <f>K34*Assumptions!J120</f>
        <v>92.918585796514165</v>
      </c>
      <c r="L35" s="80">
        <f>L34*Assumptions!K120</f>
        <v>97.118470617488583</v>
      </c>
      <c r="M35" s="80">
        <f>M34*Assumptions!L120</f>
        <v>100.53855085294937</v>
      </c>
      <c r="N35" s="80">
        <f>N34*Assumptions!M120</f>
        <v>103.59092491860548</v>
      </c>
      <c r="O35" s="80"/>
      <c r="Q35" s="46"/>
    </row>
    <row r="36" spans="2:17" x14ac:dyDescent="0.2">
      <c r="B36" s="46"/>
      <c r="C36" s="55" t="s">
        <v>11</v>
      </c>
      <c r="D36" s="73" t="s">
        <v>75</v>
      </c>
      <c r="E36" s="40">
        <f>-(Historicals!H32-Historicals!H34)</f>
        <v>-22.9</v>
      </c>
      <c r="F36" s="80">
        <f>-F34*Assumptions!E121</f>
        <v>-25.718869980486211</v>
      </c>
      <c r="G36" s="80">
        <f>-G34*Assumptions!F121</f>
        <v>-27.637693117739605</v>
      </c>
      <c r="H36" s="80">
        <f>-H34*Assumptions!G121</f>
        <v>-28.959389683297626</v>
      </c>
      <c r="I36" s="80">
        <f>-I34*Assumptions!H121</f>
        <v>-30.413180233568784</v>
      </c>
      <c r="J36" s="80">
        <f>-J34*Assumptions!I121</f>
        <v>-32.336900565528197</v>
      </c>
      <c r="K36" s="80">
        <f>-K34*Assumptions!J121</f>
        <v>-33.651595937115943</v>
      </c>
      <c r="L36" s="80">
        <f>-L34*Assumptions!K121</f>
        <v>-35.172635304712088</v>
      </c>
      <c r="M36" s="80">
        <f>-M34*Assumptions!L121</f>
        <v>-36.411258957554644</v>
      </c>
      <c r="N36" s="80">
        <f>-N34*Assumptions!M121</f>
        <v>-37.516713348900367</v>
      </c>
      <c r="O36" s="80"/>
      <c r="Q36" s="46"/>
    </row>
    <row r="37" spans="2:17" x14ac:dyDescent="0.2">
      <c r="B37" s="46"/>
      <c r="C37" s="62" t="s">
        <v>12</v>
      </c>
      <c r="D37" s="74" t="s">
        <v>75</v>
      </c>
      <c r="E37" s="82">
        <f>SUM(E35:E36)</f>
        <v>44.9009</v>
      </c>
      <c r="F37" s="82">
        <f t="shared" ref="F37:J37" si="58">SUM(F35:F36)</f>
        <v>41.295087010921527</v>
      </c>
      <c r="G37" s="82">
        <f t="shared" si="58"/>
        <v>45.404781550572196</v>
      </c>
      <c r="H37" s="82">
        <f t="shared" si="58"/>
        <v>48.685350771920639</v>
      </c>
      <c r="I37" s="82">
        <f t="shared" si="58"/>
        <v>52.328560107758051</v>
      </c>
      <c r="J37" s="82">
        <f t="shared" si="58"/>
        <v>55.638490678923503</v>
      </c>
      <c r="K37" s="82">
        <f t="shared" ref="K37" si="59">SUM(K35:K36)</f>
        <v>59.266989859398223</v>
      </c>
      <c r="L37" s="82">
        <f t="shared" ref="L37" si="60">SUM(L35:L36)</f>
        <v>61.945835312776495</v>
      </c>
      <c r="M37" s="82">
        <f t="shared" ref="M37" si="61">SUM(M35:M36)</f>
        <v>64.127291895394734</v>
      </c>
      <c r="N37" s="82">
        <f t="shared" ref="N37" si="62">SUM(N35:N36)</f>
        <v>66.074211569705113</v>
      </c>
      <c r="O37" s="80"/>
      <c r="Q37" s="46"/>
    </row>
    <row r="38" spans="2:17" x14ac:dyDescent="0.2">
      <c r="B38" s="46"/>
      <c r="C38" s="46"/>
      <c r="D38" s="73"/>
      <c r="E38" s="56"/>
      <c r="F38" s="56"/>
      <c r="G38" s="56"/>
      <c r="H38" s="56"/>
      <c r="I38" s="56"/>
      <c r="J38" s="56"/>
      <c r="K38" s="56"/>
      <c r="L38" s="56"/>
      <c r="M38" s="56"/>
      <c r="N38" s="56"/>
      <c r="O38" s="56"/>
      <c r="Q38" s="46"/>
    </row>
    <row r="39" spans="2:17" x14ac:dyDescent="0.2">
      <c r="B39" s="46"/>
      <c r="C39" s="48" t="s">
        <v>16</v>
      </c>
      <c r="D39" s="75"/>
      <c r="E39" s="77"/>
      <c r="F39" s="77"/>
      <c r="G39" s="77"/>
      <c r="H39" s="77"/>
      <c r="I39" s="77"/>
      <c r="J39" s="72"/>
      <c r="K39" s="72"/>
      <c r="L39" s="72"/>
      <c r="M39" s="72"/>
      <c r="N39" s="72"/>
    </row>
    <row r="40" spans="2:17" x14ac:dyDescent="0.2">
      <c r="B40" s="46"/>
      <c r="C40" s="64" t="s">
        <v>17</v>
      </c>
      <c r="D40" s="73" t="s">
        <v>75</v>
      </c>
      <c r="E40" s="83">
        <f>E12+E34</f>
        <v>1592.6</v>
      </c>
      <c r="F40" s="83">
        <f t="shared" ref="F40:J40" si="63">F12+F34</f>
        <v>1652.210191979887</v>
      </c>
      <c r="G40" s="83">
        <f t="shared" si="63"/>
        <v>1768.1576275335008</v>
      </c>
      <c r="H40" s="83">
        <f t="shared" si="63"/>
        <v>1848.1487792690855</v>
      </c>
      <c r="I40" s="83">
        <f t="shared" si="63"/>
        <v>1932.4693975776379</v>
      </c>
      <c r="J40" s="83">
        <f t="shared" si="63"/>
        <v>2019.2280617433328</v>
      </c>
      <c r="K40" s="83">
        <f t="shared" ref="K40:N40" si="64">K12+K34</f>
        <v>2103.7163836823925</v>
      </c>
      <c r="L40" s="83">
        <f t="shared" si="64"/>
        <v>2180.8923412351387</v>
      </c>
      <c r="M40" s="83">
        <f t="shared" si="64"/>
        <v>2250.3040239428956</v>
      </c>
      <c r="N40" s="83">
        <f t="shared" si="64"/>
        <v>2316.5081060352932</v>
      </c>
      <c r="O40" s="83"/>
      <c r="Q40" s="46"/>
    </row>
    <row r="41" spans="2:17" x14ac:dyDescent="0.2">
      <c r="B41" s="46"/>
      <c r="C41" s="55" t="s">
        <v>18</v>
      </c>
      <c r="D41" s="73" t="s">
        <v>81</v>
      </c>
      <c r="E41" s="84">
        <f>E40/Historicals!G6-1</f>
        <v>8.598704398227075E-2</v>
      </c>
      <c r="F41" s="84">
        <f>F40/E40-1</f>
        <v>3.7429481338620452E-2</v>
      </c>
      <c r="G41" s="84">
        <f t="shared" ref="G41:J41" si="65">G40/F40-1</f>
        <v>7.0177170021370472E-2</v>
      </c>
      <c r="H41" s="84">
        <f t="shared" si="65"/>
        <v>4.5239830708514672E-2</v>
      </c>
      <c r="I41" s="84">
        <f t="shared" si="65"/>
        <v>4.5624367071735339E-2</v>
      </c>
      <c r="J41" s="84">
        <f t="shared" si="65"/>
        <v>4.4895233153211755E-2</v>
      </c>
      <c r="K41" s="84">
        <f t="shared" ref="K41" si="66">K40/J40-1</f>
        <v>4.1841891730701963E-2</v>
      </c>
      <c r="L41" s="84">
        <f t="shared" ref="L41" si="67">L40/K40-1</f>
        <v>3.6685533350106603E-2</v>
      </c>
      <c r="M41" s="84">
        <f t="shared" ref="M41" si="68">M40/L40-1</f>
        <v>3.1827193573638723E-2</v>
      </c>
      <c r="N41" s="84">
        <f t="shared" ref="N41" si="69">N40/M40-1</f>
        <v>2.9420061195285729E-2</v>
      </c>
      <c r="O41" s="84"/>
      <c r="Q41" s="46"/>
    </row>
    <row r="42" spans="2:17" x14ac:dyDescent="0.2">
      <c r="B42" s="46"/>
      <c r="C42" s="55" t="s">
        <v>19</v>
      </c>
      <c r="D42" s="73" t="s">
        <v>75</v>
      </c>
      <c r="E42" s="80">
        <f>E15</f>
        <v>237.1</v>
      </c>
      <c r="F42" s="80">
        <f t="shared" ref="F42:J42" si="70">F15</f>
        <v>239.93490111149228</v>
      </c>
      <c r="G42" s="80">
        <f t="shared" si="70"/>
        <v>254.06668642538583</v>
      </c>
      <c r="H42" s="80">
        <f t="shared" si="70"/>
        <v>263.12002572595361</v>
      </c>
      <c r="I42" s="80">
        <f t="shared" si="70"/>
        <v>273.57692481286898</v>
      </c>
      <c r="J42" s="80">
        <f t="shared" si="70"/>
        <v>284.34685185297047</v>
      </c>
      <c r="K42" s="80">
        <f t="shared" ref="K42:N42" si="71">K15</f>
        <v>294.98778217852418</v>
      </c>
      <c r="L42" s="80">
        <f t="shared" si="71"/>
        <v>305.02187040285634</v>
      </c>
      <c r="M42" s="80">
        <f t="shared" si="71"/>
        <v>314.40221165831764</v>
      </c>
      <c r="N42" s="80">
        <f t="shared" si="71"/>
        <v>323.55782896950024</v>
      </c>
      <c r="O42" s="80"/>
      <c r="Q42" s="46"/>
    </row>
    <row r="43" spans="2:17" x14ac:dyDescent="0.2">
      <c r="B43" s="46"/>
      <c r="C43" s="55" t="s">
        <v>20</v>
      </c>
      <c r="D43" s="73" t="s">
        <v>75</v>
      </c>
      <c r="E43" s="80">
        <f>E37</f>
        <v>44.9009</v>
      </c>
      <c r="F43" s="80">
        <f t="shared" ref="F43:J43" si="72">F37</f>
        <v>41.295087010921527</v>
      </c>
      <c r="G43" s="80">
        <f t="shared" si="72"/>
        <v>45.404781550572196</v>
      </c>
      <c r="H43" s="80">
        <f t="shared" si="72"/>
        <v>48.685350771920639</v>
      </c>
      <c r="I43" s="80">
        <f t="shared" si="72"/>
        <v>52.328560107758051</v>
      </c>
      <c r="J43" s="80">
        <f t="shared" si="72"/>
        <v>55.638490678923503</v>
      </c>
      <c r="K43" s="80">
        <f t="shared" ref="K43:N43" si="73">K37</f>
        <v>59.266989859398223</v>
      </c>
      <c r="L43" s="80">
        <f t="shared" si="73"/>
        <v>61.945835312776495</v>
      </c>
      <c r="M43" s="80">
        <f t="shared" si="73"/>
        <v>64.127291895394734</v>
      </c>
      <c r="N43" s="80">
        <f t="shared" si="73"/>
        <v>66.074211569705113</v>
      </c>
      <c r="O43" s="80"/>
      <c r="Q43" s="46"/>
    </row>
    <row r="44" spans="2:17" x14ac:dyDescent="0.2">
      <c r="B44" s="46"/>
      <c r="C44" s="55" t="s">
        <v>21</v>
      </c>
      <c r="D44" s="73" t="s">
        <v>75</v>
      </c>
      <c r="E44" s="80">
        <f>-(Historicals!H24+Historicals!H34-Historicals!H7)</f>
        <v>-37.5</v>
      </c>
      <c r="F44" s="80">
        <f>-F40*Assumptions!E123</f>
        <v>-39.653044607517288</v>
      </c>
      <c r="G44" s="80">
        <f>-G40*Assumptions!F123</f>
        <v>-42.43578306080402</v>
      </c>
      <c r="H44" s="80">
        <f>-H40*Assumptions!G123</f>
        <v>-44.355570702458053</v>
      </c>
      <c r="I44" s="80">
        <f>-I40*Assumptions!H123</f>
        <v>-46.379265541863312</v>
      </c>
      <c r="J44" s="80">
        <f>-J40*Assumptions!I123</f>
        <v>-48.461473481839988</v>
      </c>
      <c r="K44" s="80">
        <f>-K40*Assumptions!J123</f>
        <v>-50.489193208377422</v>
      </c>
      <c r="L44" s="80">
        <f>-L40*Assumptions!K123</f>
        <v>-52.341416189643333</v>
      </c>
      <c r="M44" s="80">
        <f>-M40*Assumptions!L123</f>
        <v>-54.007296574629493</v>
      </c>
      <c r="N44" s="80">
        <f>-N40*Assumptions!M123</f>
        <v>-55.596194544847037</v>
      </c>
      <c r="O44" s="80"/>
      <c r="P44" s="27" t="s">
        <v>268</v>
      </c>
      <c r="Q44" s="46"/>
    </row>
    <row r="45" spans="2:17" x14ac:dyDescent="0.2">
      <c r="B45" s="46"/>
      <c r="C45" s="62" t="s">
        <v>22</v>
      </c>
      <c r="D45" s="74" t="s">
        <v>75</v>
      </c>
      <c r="E45" s="82">
        <f>SUM(E42:E44)</f>
        <v>244.5009</v>
      </c>
      <c r="F45" s="82">
        <f t="shared" ref="F45:J45" si="74">SUM(F42:F44)</f>
        <v>241.57694351489653</v>
      </c>
      <c r="G45" s="82">
        <f t="shared" si="74"/>
        <v>257.03568491515404</v>
      </c>
      <c r="H45" s="82">
        <f t="shared" si="74"/>
        <v>267.44980579541618</v>
      </c>
      <c r="I45" s="82">
        <f t="shared" si="74"/>
        <v>279.5262193787637</v>
      </c>
      <c r="J45" s="82">
        <f t="shared" si="74"/>
        <v>291.52386905005403</v>
      </c>
      <c r="K45" s="82">
        <f t="shared" ref="K45" si="75">SUM(K42:K44)</f>
        <v>303.76557882954501</v>
      </c>
      <c r="L45" s="82">
        <f t="shared" ref="L45" si="76">SUM(L42:L44)</f>
        <v>314.62628952598953</v>
      </c>
      <c r="M45" s="82">
        <f t="shared" ref="M45" si="77">SUM(M42:M44)</f>
        <v>324.52220697908291</v>
      </c>
      <c r="N45" s="82">
        <f t="shared" ref="N45" si="78">SUM(N42:N44)</f>
        <v>334.03584599435834</v>
      </c>
      <c r="O45" s="86"/>
      <c r="Q45" s="46"/>
    </row>
    <row r="46" spans="2:17" x14ac:dyDescent="0.2">
      <c r="B46" s="46"/>
      <c r="C46" s="55" t="s">
        <v>23</v>
      </c>
      <c r="D46" s="73" t="s">
        <v>81</v>
      </c>
      <c r="E46" s="84">
        <f>E45/E40</f>
        <v>0.1535231068692704</v>
      </c>
      <c r="F46" s="84">
        <f t="shared" ref="F46:J46" si="79">F45/F40</f>
        <v>0.14621441308590918</v>
      </c>
      <c r="G46" s="84">
        <f t="shared" si="79"/>
        <v>0.14536921421067367</v>
      </c>
      <c r="H46" s="84">
        <f t="shared" si="79"/>
        <v>0.14471227035151818</v>
      </c>
      <c r="I46" s="84">
        <f t="shared" si="79"/>
        <v>0.14464716477743528</v>
      </c>
      <c r="J46" s="84">
        <f t="shared" si="79"/>
        <v>0.14437391920869119</v>
      </c>
      <c r="K46" s="84">
        <f t="shared" ref="K46" si="80">K45/K40</f>
        <v>0.14439473932214517</v>
      </c>
      <c r="L46" s="84">
        <f t="shared" ref="L46" si="81">L45/L40</f>
        <v>0.14426493393424561</v>
      </c>
      <c r="M46" s="84">
        <f t="shared" ref="M46" si="82">M45/M40</f>
        <v>0.1442126057306993</v>
      </c>
      <c r="N46" s="84">
        <f t="shared" ref="N46" si="83">N45/N40</f>
        <v>0.1441980043687657</v>
      </c>
      <c r="O46" s="84"/>
      <c r="Q46" s="46"/>
    </row>
    <row r="47" spans="2:17" x14ac:dyDescent="0.2">
      <c r="B47" s="46"/>
      <c r="C47" s="52" t="s">
        <v>24</v>
      </c>
      <c r="D47" s="73" t="s">
        <v>75</v>
      </c>
      <c r="E47" s="80">
        <f>-Historicals!H66</f>
        <v>-83.699999999999989</v>
      </c>
      <c r="F47" s="80">
        <f>-F40*Assumptions!E124</f>
        <v>-88.393245270923956</v>
      </c>
      <c r="G47" s="80">
        <f>-G40*Assumptions!F124</f>
        <v>-95.48051188680904</v>
      </c>
      <c r="H47" s="80">
        <f>-H40*Assumptions!G124</f>
        <v>-100.72410847016516</v>
      </c>
      <c r="I47" s="80">
        <f>-I40*Assumptions!H124</f>
        <v>-106.28581686677009</v>
      </c>
      <c r="J47" s="80">
        <f>-J40*Assumptions!I124</f>
        <v>-112.06715742675497</v>
      </c>
      <c r="K47" s="80">
        <f>-K40*Assumptions!J124</f>
        <v>-117.80811748621397</v>
      </c>
      <c r="L47" s="80">
        <f>-L40*Assumptions!K124</f>
        <v>-123.22041727978534</v>
      </c>
      <c r="M47" s="80">
        <f>-M40*Assumptions!L124</f>
        <v>-128.26732936474505</v>
      </c>
      <c r="N47" s="80">
        <f>-N40*Assumptions!M124</f>
        <v>-133.19921609702936</v>
      </c>
      <c r="O47" s="80"/>
      <c r="P47" s="27" t="s">
        <v>269</v>
      </c>
      <c r="Q47" s="46"/>
    </row>
    <row r="48" spans="2:17" x14ac:dyDescent="0.2">
      <c r="B48" s="46"/>
      <c r="C48" s="62" t="s">
        <v>25</v>
      </c>
      <c r="D48" s="74" t="s">
        <v>75</v>
      </c>
      <c r="E48" s="82">
        <f>SUM(E47,E45)</f>
        <v>160.80090000000001</v>
      </c>
      <c r="F48" s="82">
        <f t="shared" ref="F48:J48" si="84">SUM(F47,F45)</f>
        <v>153.18369824397257</v>
      </c>
      <c r="G48" s="82">
        <f t="shared" si="84"/>
        <v>161.555173028345</v>
      </c>
      <c r="H48" s="82">
        <f t="shared" si="84"/>
        <v>166.72569732525102</v>
      </c>
      <c r="I48" s="82">
        <f t="shared" si="84"/>
        <v>173.24040251199361</v>
      </c>
      <c r="J48" s="82">
        <f t="shared" si="84"/>
        <v>179.45671162329904</v>
      </c>
      <c r="K48" s="82">
        <f t="shared" ref="K48" si="85">SUM(K47,K45)</f>
        <v>185.95746134333103</v>
      </c>
      <c r="L48" s="82">
        <f t="shared" ref="L48" si="86">SUM(L47,L45)</f>
        <v>191.40587224620418</v>
      </c>
      <c r="M48" s="82">
        <f t="shared" ref="M48" si="87">SUM(M47,M45)</f>
        <v>196.25487761433786</v>
      </c>
      <c r="N48" s="82">
        <f t="shared" ref="N48" si="88">SUM(N47,N45)</f>
        <v>200.83662989732898</v>
      </c>
      <c r="O48" s="86"/>
      <c r="Q48" s="46"/>
    </row>
    <row r="49" spans="2:17" x14ac:dyDescent="0.2">
      <c r="B49" s="46"/>
      <c r="C49" s="46"/>
      <c r="D49" s="73"/>
      <c r="E49" s="56"/>
      <c r="F49" s="56"/>
      <c r="G49" s="56"/>
      <c r="H49" s="56"/>
      <c r="I49" s="56"/>
      <c r="J49" s="56"/>
      <c r="K49" s="56"/>
      <c r="L49" s="56"/>
      <c r="M49" s="56"/>
      <c r="N49" s="56"/>
      <c r="O49" s="56"/>
      <c r="Q49" s="46"/>
    </row>
    <row r="50" spans="2:17" x14ac:dyDescent="0.2">
      <c r="B50" s="46"/>
      <c r="C50" s="48" t="s">
        <v>31</v>
      </c>
      <c r="D50" s="75"/>
      <c r="E50" s="77"/>
      <c r="F50" s="77"/>
      <c r="G50" s="77"/>
      <c r="H50" s="77"/>
      <c r="I50" s="77"/>
      <c r="J50" s="72"/>
      <c r="K50" s="72"/>
      <c r="L50" s="72"/>
      <c r="M50" s="72"/>
      <c r="N50" s="72"/>
    </row>
    <row r="51" spans="2:17" x14ac:dyDescent="0.2">
      <c r="B51" s="46"/>
      <c r="C51" s="55" t="s">
        <v>26</v>
      </c>
      <c r="D51" s="73" t="s">
        <v>75</v>
      </c>
      <c r="E51" s="80">
        <f>'Capex &amp; PPE'!E51</f>
        <v>-55.600000000000009</v>
      </c>
      <c r="F51" s="80">
        <f>'Capex &amp; PPE'!F51</f>
        <v>-60.739511970047978</v>
      </c>
      <c r="G51" s="80">
        <f>'Capex &amp; PPE'!G51</f>
        <v>-58.085881595890761</v>
      </c>
      <c r="H51" s="80">
        <f>'Capex &amp; PPE'!H51</f>
        <v>-56.052013537658901</v>
      </c>
      <c r="I51" s="80">
        <f>'Capex &amp; PPE'!I51</f>
        <v>-55.698373284893719</v>
      </c>
      <c r="J51" s="80">
        <f>'Capex &amp; PPE'!J51</f>
        <v>-57.09105128296877</v>
      </c>
      <c r="K51" s="80">
        <f>'Capex &amp; PPE'!K51</f>
        <v>-59.685104146351854</v>
      </c>
      <c r="L51" s="80">
        <f>'Capex &amp; PPE'!L51</f>
        <v>-62.985444307744046</v>
      </c>
      <c r="M51" s="80">
        <f>'Capex &amp; PPE'!M51</f>
        <v>-66.754327363896891</v>
      </c>
      <c r="N51" s="80">
        <f>'Capex &amp; PPE'!N51</f>
        <v>-71.043458833925513</v>
      </c>
      <c r="O51" s="80"/>
      <c r="P51" s="27" t="s">
        <v>270</v>
      </c>
      <c r="Q51" s="46"/>
    </row>
    <row r="52" spans="2:17" x14ac:dyDescent="0.2">
      <c r="B52" s="46"/>
      <c r="C52" s="55" t="s">
        <v>27</v>
      </c>
      <c r="D52" s="73" t="s">
        <v>75</v>
      </c>
      <c r="E52" s="80">
        <f>-Historicals!H67</f>
        <v>-58.3</v>
      </c>
      <c r="F52" s="80">
        <f>E52*(F40/E40)</f>
        <v>-60.482138762041572</v>
      </c>
      <c r="G52" s="80">
        <f t="shared" ref="G52:J52" si="89">F52*(G40/F40)</f>
        <v>-64.726604097201488</v>
      </c>
      <c r="H52" s="80">
        <f t="shared" si="89"/>
        <v>-67.65482470889593</v>
      </c>
      <c r="I52" s="80">
        <f t="shared" si="89"/>
        <v>-70.741533265588501</v>
      </c>
      <c r="J52" s="80">
        <f t="shared" si="89"/>
        <v>-73.917490895162786</v>
      </c>
      <c r="K52" s="80">
        <f t="shared" ref="K52:N52" si="90">J52*(K40/J40)</f>
        <v>-77.010338546203329</v>
      </c>
      <c r="L52" s="80">
        <f t="shared" si="90"/>
        <v>-79.835503889243071</v>
      </c>
      <c r="M52" s="80">
        <f t="shared" si="90"/>
        <v>-82.376443925575003</v>
      </c>
      <c r="N52" s="80">
        <f t="shared" si="90"/>
        <v>-84.79996394691544</v>
      </c>
      <c r="O52" s="80"/>
      <c r="P52" s="27" t="s">
        <v>271</v>
      </c>
      <c r="Q52" s="46"/>
    </row>
    <row r="53" spans="2:17" x14ac:dyDescent="0.2">
      <c r="B53" s="46"/>
      <c r="C53" s="63" t="s">
        <v>28</v>
      </c>
      <c r="D53" s="74" t="s">
        <v>75</v>
      </c>
      <c r="E53" s="81">
        <f>E51+E52</f>
        <v>-113.9</v>
      </c>
      <c r="F53" s="81">
        <f t="shared" ref="F53:J53" si="91">F51+F52</f>
        <v>-121.22165073208956</v>
      </c>
      <c r="G53" s="81">
        <f t="shared" si="91"/>
        <v>-122.81248569309224</v>
      </c>
      <c r="H53" s="81">
        <f t="shared" si="91"/>
        <v>-123.70683824655484</v>
      </c>
      <c r="I53" s="81">
        <f t="shared" si="91"/>
        <v>-126.43990655048222</v>
      </c>
      <c r="J53" s="81">
        <f t="shared" si="91"/>
        <v>-131.00854217813156</v>
      </c>
      <c r="K53" s="81">
        <f t="shared" ref="K53" si="92">K51+K52</f>
        <v>-136.69544269255519</v>
      </c>
      <c r="L53" s="81">
        <f t="shared" ref="L53" si="93">L51+L52</f>
        <v>-142.8209481969871</v>
      </c>
      <c r="M53" s="81">
        <f t="shared" ref="M53" si="94">M51+M52</f>
        <v>-149.13077128947191</v>
      </c>
      <c r="N53" s="81">
        <f t="shared" ref="N53" si="95">N51+N52</f>
        <v>-155.84342278084097</v>
      </c>
      <c r="O53" s="80"/>
      <c r="Q53" s="46"/>
    </row>
    <row r="54" spans="2:17" x14ac:dyDescent="0.2">
      <c r="B54" s="46"/>
      <c r="C54" s="64" t="s">
        <v>29</v>
      </c>
      <c r="D54" s="73" t="s">
        <v>75</v>
      </c>
      <c r="E54" s="86">
        <f>E53+E45</f>
        <v>130.6009</v>
      </c>
      <c r="F54" s="86">
        <f t="shared" ref="F54:J54" si="96">F53+F45</f>
        <v>120.35529278280697</v>
      </c>
      <c r="G54" s="86">
        <f t="shared" si="96"/>
        <v>134.22319922206179</v>
      </c>
      <c r="H54" s="86">
        <f t="shared" si="96"/>
        <v>143.74296754886134</v>
      </c>
      <c r="I54" s="86">
        <f t="shared" si="96"/>
        <v>153.08631282828148</v>
      </c>
      <c r="J54" s="86">
        <f t="shared" si="96"/>
        <v>160.51532687192247</v>
      </c>
      <c r="K54" s="86">
        <f t="shared" ref="K54" si="97">K53+K45</f>
        <v>167.07013613698982</v>
      </c>
      <c r="L54" s="86">
        <f t="shared" ref="L54" si="98">L53+L45</f>
        <v>171.80534132900243</v>
      </c>
      <c r="M54" s="86">
        <f t="shared" ref="M54" si="99">M53+M45</f>
        <v>175.391435689611</v>
      </c>
      <c r="N54" s="86">
        <f t="shared" ref="N54" si="100">N53+N45</f>
        <v>178.19242321351737</v>
      </c>
      <c r="O54" s="86"/>
      <c r="Q54" s="46"/>
    </row>
    <row r="55" spans="2:17" x14ac:dyDescent="0.2">
      <c r="B55" s="46"/>
      <c r="C55" s="64" t="s">
        <v>30</v>
      </c>
      <c r="D55" s="73" t="s">
        <v>75</v>
      </c>
      <c r="E55" s="86">
        <f>E48+E51</f>
        <v>105.2009</v>
      </c>
      <c r="F55" s="86">
        <f t="shared" ref="F55:J55" si="101">F48+F51</f>
        <v>92.444186273924601</v>
      </c>
      <c r="G55" s="86">
        <f t="shared" si="101"/>
        <v>103.46929143245424</v>
      </c>
      <c r="H55" s="86">
        <f t="shared" si="101"/>
        <v>110.67368378759213</v>
      </c>
      <c r="I55" s="86">
        <f t="shared" si="101"/>
        <v>117.54202922709989</v>
      </c>
      <c r="J55" s="86">
        <f t="shared" si="101"/>
        <v>122.36566034033027</v>
      </c>
      <c r="K55" s="86">
        <f t="shared" ref="K55:N55" si="102">K48+K51</f>
        <v>126.27235719697919</v>
      </c>
      <c r="L55" s="86">
        <f t="shared" si="102"/>
        <v>128.42042793846014</v>
      </c>
      <c r="M55" s="86">
        <f t="shared" si="102"/>
        <v>129.50055025044097</v>
      </c>
      <c r="N55" s="86">
        <f t="shared" si="102"/>
        <v>129.79317106340346</v>
      </c>
      <c r="O55" s="86"/>
      <c r="Q55" s="46"/>
    </row>
    <row r="56" spans="2:17" x14ac:dyDescent="0.2">
      <c r="B56" s="46"/>
      <c r="C56" s="46"/>
      <c r="D56" s="73"/>
      <c r="E56" s="56"/>
      <c r="F56" s="56"/>
      <c r="G56" s="56"/>
      <c r="H56" s="56"/>
      <c r="I56" s="56"/>
      <c r="J56" s="56"/>
      <c r="K56" s="56"/>
      <c r="L56" s="56"/>
      <c r="M56" s="56"/>
      <c r="N56" s="56"/>
      <c r="O56" s="56"/>
      <c r="Q56" s="46"/>
    </row>
    <row r="57" spans="2:17" x14ac:dyDescent="0.2">
      <c r="B57" s="46"/>
      <c r="C57" s="48" t="s">
        <v>32</v>
      </c>
      <c r="D57" s="75"/>
      <c r="E57" s="77"/>
      <c r="F57" s="77"/>
      <c r="G57" s="77"/>
      <c r="H57" s="77"/>
      <c r="I57" s="77"/>
      <c r="J57" s="72"/>
      <c r="K57" s="72"/>
      <c r="L57" s="72"/>
      <c r="M57" s="72"/>
      <c r="N57" s="72"/>
      <c r="Q57" s="46"/>
    </row>
    <row r="58" spans="2:17" x14ac:dyDescent="0.2">
      <c r="B58" s="46"/>
      <c r="C58" s="55" t="s">
        <v>33</v>
      </c>
      <c r="D58" s="74" t="s">
        <v>75</v>
      </c>
      <c r="E58" s="2">
        <v>-38.1</v>
      </c>
      <c r="F58" s="80">
        <f>-F40*Assumptions!E125</f>
        <v>-33.044203839597742</v>
      </c>
      <c r="G58" s="80">
        <f>-G40*Assumptions!F125</f>
        <v>-38.899467805737018</v>
      </c>
      <c r="H58" s="80">
        <f>-H40*Assumptions!G125</f>
        <v>-42.507421923188964</v>
      </c>
      <c r="I58" s="80">
        <f>-I40*Assumptions!H125</f>
        <v>-44.44679614428567</v>
      </c>
      <c r="J58" s="80">
        <f>-J40*Assumptions!I125</f>
        <v>-46.442245420096654</v>
      </c>
      <c r="K58" s="80">
        <f>-K40*Assumptions!J125</f>
        <v>-48.385476824695026</v>
      </c>
      <c r="L58" s="80">
        <f>-L40*Assumptions!K125</f>
        <v>-50.160523848408189</v>
      </c>
      <c r="M58" s="80">
        <f>-M40*Assumptions!L125</f>
        <v>-51.756992550686597</v>
      </c>
      <c r="N58" s="80">
        <f>-N40*Assumptions!M125</f>
        <v>-53.279686438811744</v>
      </c>
      <c r="O58" s="80"/>
      <c r="P58" s="27" t="s">
        <v>272</v>
      </c>
      <c r="Q58" s="46"/>
    </row>
    <row r="59" spans="2:17" x14ac:dyDescent="0.2">
      <c r="B59" s="46"/>
      <c r="C59" s="55" t="s">
        <v>34</v>
      </c>
      <c r="D59" s="73" t="s">
        <v>75</v>
      </c>
      <c r="E59" s="2">
        <v>-13.8</v>
      </c>
      <c r="F59" s="80">
        <f>-((F7*Assumptions!E127)+(Model!F19-Assumptions!E114)*Assumptions!E128+Model!F27*Assumptions!E129)</f>
        <v>-18.599999999999998</v>
      </c>
      <c r="G59" s="80">
        <f>-((G7*Assumptions!F127)+(Model!G19-Assumptions!F114)*Assumptions!F128+Model!G27*Assumptions!F129)</f>
        <v>-23.95</v>
      </c>
      <c r="H59" s="80">
        <f>-((H7*Assumptions!G127)+(Model!H19-Assumptions!G114)*Assumptions!G128+Model!H27*Assumptions!G129)</f>
        <v>-24.5</v>
      </c>
      <c r="I59" s="80">
        <f>-((I7*Assumptions!H127)+(Model!I19-Assumptions!H114)*Assumptions!H128+Model!I27*Assumptions!H129)</f>
        <v>-25.049999999999997</v>
      </c>
      <c r="J59" s="80">
        <f>-((J7*Assumptions!I127)+(Model!J19-Assumptions!I114)*Assumptions!I128+Model!J27*Assumptions!I129)</f>
        <v>-25.6</v>
      </c>
      <c r="K59" s="80">
        <f>-((K7*Assumptions!J127)+(Model!K19-Assumptions!J114)*Assumptions!J128+Model!K27*Assumptions!J129)</f>
        <v>-21.43</v>
      </c>
      <c r="L59" s="80">
        <f>-((L7*Assumptions!K127)+(Model!L19-Assumptions!K114)*Assumptions!K128+Model!L27*Assumptions!K129)</f>
        <v>-17.03</v>
      </c>
      <c r="M59" s="80">
        <f>-((M7*Assumptions!L127)+(Model!M19-Assumptions!L114)*Assumptions!L128+Model!M27*Assumptions!L129)</f>
        <v>-12.379999999999999</v>
      </c>
      <c r="N59" s="80">
        <f>-((N7*Assumptions!M127)+(Model!N19-Assumptions!M114)*Assumptions!M128+Model!N27*Assumptions!M129)</f>
        <v>-12.7</v>
      </c>
      <c r="O59" s="80"/>
      <c r="P59" s="27" t="s">
        <v>273</v>
      </c>
      <c r="Q59" s="46"/>
    </row>
    <row r="60" spans="2:17" x14ac:dyDescent="0.2">
      <c r="B60" s="46"/>
      <c r="C60" s="55" t="s">
        <v>35</v>
      </c>
      <c r="D60" s="73" t="s">
        <v>75</v>
      </c>
      <c r="E60" s="87">
        <v>0</v>
      </c>
      <c r="F60" s="87">
        <f>-Assumptions!E126</f>
        <v>-35</v>
      </c>
      <c r="G60" s="87">
        <f>-Assumptions!F126</f>
        <v>-12</v>
      </c>
      <c r="H60" s="87">
        <v>0</v>
      </c>
      <c r="I60" s="87">
        <v>0</v>
      </c>
      <c r="J60" s="87">
        <v>0</v>
      </c>
      <c r="K60" s="87">
        <v>0</v>
      </c>
      <c r="L60" s="87">
        <v>0</v>
      </c>
      <c r="M60" s="87">
        <v>0</v>
      </c>
      <c r="N60" s="87">
        <v>0</v>
      </c>
      <c r="O60" s="80"/>
      <c r="Q60" s="46"/>
    </row>
    <row r="61" spans="2:17" x14ac:dyDescent="0.2">
      <c r="B61" s="46"/>
      <c r="C61" s="64" t="s">
        <v>36</v>
      </c>
      <c r="D61" s="78" t="s">
        <v>75</v>
      </c>
      <c r="E61" s="86">
        <f>-SUM(E58:E60)</f>
        <v>51.900000000000006</v>
      </c>
      <c r="F61" s="86">
        <f t="shared" ref="F61:J61" si="103">-SUM(F58:F60)</f>
        <v>86.644203839597736</v>
      </c>
      <c r="G61" s="86">
        <f t="shared" si="103"/>
        <v>74.849467805737021</v>
      </c>
      <c r="H61" s="86">
        <f t="shared" si="103"/>
        <v>67.007421923188957</v>
      </c>
      <c r="I61" s="86">
        <f t="shared" si="103"/>
        <v>69.496796144285668</v>
      </c>
      <c r="J61" s="86">
        <f t="shared" si="103"/>
        <v>72.042245420096663</v>
      </c>
      <c r="K61" s="86">
        <f t="shared" ref="K61" si="104">-SUM(K58:K60)</f>
        <v>69.815476824695025</v>
      </c>
      <c r="L61" s="86">
        <f t="shared" ref="L61" si="105">-SUM(L58:L60)</f>
        <v>67.190523848408191</v>
      </c>
      <c r="M61" s="86">
        <f t="shared" ref="M61" si="106">-SUM(M58:M60)</f>
        <v>64.1369925506866</v>
      </c>
      <c r="N61" s="86">
        <f t="shared" ref="N61" si="107">-SUM(N58:N60)</f>
        <v>65.97968643881174</v>
      </c>
      <c r="O61" s="86"/>
      <c r="P61" s="27" t="s">
        <v>274</v>
      </c>
      <c r="Q61" s="46"/>
    </row>
    <row r="62" spans="2:17" x14ac:dyDescent="0.2">
      <c r="B62" s="46"/>
      <c r="C62" s="55" t="s">
        <v>37</v>
      </c>
      <c r="D62" s="73" t="s">
        <v>81</v>
      </c>
      <c r="E62" s="84">
        <f>E61/E40</f>
        <v>3.2588220519904565E-2</v>
      </c>
      <c r="F62" s="84">
        <f t="shared" ref="F62:J62" si="108">F61/F40</f>
        <v>5.2441392905202763E-2</v>
      </c>
      <c r="G62" s="84">
        <f t="shared" si="108"/>
        <v>4.2331897699725229E-2</v>
      </c>
      <c r="H62" s="84">
        <f t="shared" si="108"/>
        <v>3.6256508499109774E-2</v>
      </c>
      <c r="I62" s="84">
        <f t="shared" si="108"/>
        <v>3.5962689102037176E-2</v>
      </c>
      <c r="J62" s="84">
        <f t="shared" si="108"/>
        <v>3.5678112237553711E-2</v>
      </c>
      <c r="K62" s="84">
        <f t="shared" ref="K62" si="109">K61/K40</f>
        <v>3.318673437456833E-2</v>
      </c>
      <c r="L62" s="84">
        <f t="shared" ref="L62" si="110">L61/L40</f>
        <v>3.0808730251377349E-2</v>
      </c>
      <c r="M62" s="84">
        <f t="shared" ref="M62" si="111">M61/M40</f>
        <v>2.8501478852758857E-2</v>
      </c>
      <c r="N62" s="84">
        <f t="shared" ref="N62" si="112">N61/N40</f>
        <v>2.8482389622083413E-2</v>
      </c>
      <c r="O62" s="84"/>
      <c r="Q62" s="46"/>
    </row>
    <row r="63" spans="2:17" x14ac:dyDescent="0.2">
      <c r="B63" s="46"/>
      <c r="C63" s="55" t="s">
        <v>38</v>
      </c>
      <c r="D63" s="73" t="s">
        <v>75</v>
      </c>
      <c r="E63" s="80">
        <f>E40*Assumptions!E130</f>
        <v>-87.592999999999989</v>
      </c>
      <c r="F63" s="80">
        <f>F40*Assumptions!E130</f>
        <v>-90.87156055889379</v>
      </c>
      <c r="G63" s="80">
        <f>G40*Assumptions!F130</f>
        <v>-97.248669514342538</v>
      </c>
      <c r="H63" s="80">
        <f>H40*Assumptions!G130</f>
        <v>-101.6481828597997</v>
      </c>
      <c r="I63" s="80">
        <f>I40*Assumptions!H130</f>
        <v>-106.28581686677009</v>
      </c>
      <c r="J63" s="80">
        <f>J40*Assumptions!I130</f>
        <v>-111.0575433958833</v>
      </c>
      <c r="K63" s="80">
        <f>K40*Assumptions!J130</f>
        <v>-115.70440110253159</v>
      </c>
      <c r="L63" s="80">
        <f>L40*Assumptions!K130</f>
        <v>-119.94907876793263</v>
      </c>
      <c r="M63" s="80">
        <f>M40*Assumptions!L130</f>
        <v>-123.76672131685926</v>
      </c>
      <c r="N63" s="80">
        <f>N40*Assumptions!M130</f>
        <v>-127.40794583194112</v>
      </c>
      <c r="O63" s="80"/>
      <c r="Q63" s="46"/>
    </row>
    <row r="64" spans="2:17" x14ac:dyDescent="0.2">
      <c r="B64" s="46"/>
      <c r="C64" s="55" t="s">
        <v>39</v>
      </c>
      <c r="D64" s="73" t="s">
        <v>75</v>
      </c>
      <c r="E64" s="80">
        <v>0</v>
      </c>
      <c r="F64" s="80">
        <f>-(F63-E63)</f>
        <v>3.2785605588938012</v>
      </c>
      <c r="G64" s="80">
        <f t="shared" ref="G64:N64" si="113">-(G63-F63)</f>
        <v>6.3771089554487475</v>
      </c>
      <c r="H64" s="80">
        <f t="shared" si="113"/>
        <v>4.3995133454571658</v>
      </c>
      <c r="I64" s="80">
        <f t="shared" si="113"/>
        <v>4.6376340069703872</v>
      </c>
      <c r="J64" s="80">
        <f t="shared" si="113"/>
        <v>4.7717265291132094</v>
      </c>
      <c r="K64" s="80">
        <f t="shared" si="113"/>
        <v>4.6468577066482908</v>
      </c>
      <c r="L64" s="80">
        <f t="shared" si="113"/>
        <v>4.2446776654010421</v>
      </c>
      <c r="M64" s="80">
        <f t="shared" si="113"/>
        <v>3.8176425489266279</v>
      </c>
      <c r="N64" s="80">
        <f t="shared" si="113"/>
        <v>3.6412245150818592</v>
      </c>
      <c r="O64" s="80"/>
      <c r="P64" s="27" t="s">
        <v>275</v>
      </c>
      <c r="Q64" s="46"/>
    </row>
    <row r="65" spans="2:17" x14ac:dyDescent="0.2">
      <c r="B65" s="46"/>
      <c r="C65" s="55" t="s">
        <v>40</v>
      </c>
      <c r="D65" s="73" t="s">
        <v>75</v>
      </c>
      <c r="E65" s="80">
        <v>0</v>
      </c>
      <c r="F65" s="80">
        <v>-50.6</v>
      </c>
      <c r="G65" s="80">
        <v>0</v>
      </c>
      <c r="H65" s="80">
        <v>0</v>
      </c>
      <c r="I65" s="80">
        <v>0</v>
      </c>
      <c r="J65" s="80">
        <v>0</v>
      </c>
      <c r="K65" s="80">
        <v>0</v>
      </c>
      <c r="L65" s="80">
        <v>0</v>
      </c>
      <c r="M65" s="80">
        <v>0</v>
      </c>
      <c r="N65" s="80">
        <v>0</v>
      </c>
      <c r="O65" s="80"/>
      <c r="P65" s="27" t="s">
        <v>276</v>
      </c>
      <c r="Q65" s="46"/>
    </row>
    <row r="66" spans="2:17" x14ac:dyDescent="0.2">
      <c r="B66" s="46"/>
      <c r="C66" s="55" t="s">
        <v>41</v>
      </c>
      <c r="D66" s="73" t="s">
        <v>75</v>
      </c>
      <c r="E66" s="80">
        <f>Historicals!H54</f>
        <v>630.5</v>
      </c>
      <c r="F66" s="80">
        <f>$E$66*F40/$E$40</f>
        <v>654.09928798400028</v>
      </c>
      <c r="G66" s="80">
        <f t="shared" ref="G66:J66" si="114">$E$66*G40/$E$40</f>
        <v>700.00212492771095</v>
      </c>
      <c r="H66" s="80">
        <f t="shared" si="114"/>
        <v>731.67010255504113</v>
      </c>
      <c r="I66" s="80">
        <f t="shared" si="114"/>
        <v>765.0520878894265</v>
      </c>
      <c r="J66" s="80">
        <f t="shared" si="114"/>
        <v>799.39927974957391</v>
      </c>
      <c r="K66" s="80">
        <f t="shared" ref="K66:N66" si="115">$E$66*K40/$E$40</f>
        <v>832.84765786245669</v>
      </c>
      <c r="L66" s="80">
        <f t="shared" si="115"/>
        <v>863.40111839052804</v>
      </c>
      <c r="M66" s="80">
        <f t="shared" si="115"/>
        <v>890.88075291723965</v>
      </c>
      <c r="N66" s="80">
        <f t="shared" si="115"/>
        <v>917.09051918576688</v>
      </c>
      <c r="O66" s="80"/>
      <c r="P66" s="27" t="s">
        <v>277</v>
      </c>
      <c r="Q66" s="46"/>
    </row>
    <row r="67" spans="2:17" x14ac:dyDescent="0.2">
      <c r="B67" s="46"/>
      <c r="C67" s="46"/>
      <c r="D67" s="73"/>
      <c r="E67" s="56"/>
      <c r="F67" s="56"/>
      <c r="G67" s="56"/>
      <c r="H67" s="56"/>
      <c r="I67" s="56"/>
      <c r="J67" s="56"/>
      <c r="K67" s="56"/>
      <c r="L67" s="56"/>
      <c r="M67" s="56"/>
      <c r="N67" s="56"/>
      <c r="O67" s="56"/>
      <c r="Q67" s="46"/>
    </row>
    <row r="68" spans="2:17" x14ac:dyDescent="0.2">
      <c r="B68" s="46"/>
      <c r="C68" s="48" t="s">
        <v>50</v>
      </c>
      <c r="D68" s="75"/>
      <c r="E68" s="77"/>
      <c r="F68" s="77"/>
      <c r="G68" s="77"/>
      <c r="H68" s="77"/>
      <c r="I68" s="77"/>
      <c r="J68" s="72"/>
      <c r="K68" s="72"/>
      <c r="L68" s="72"/>
      <c r="M68" s="72"/>
      <c r="N68" s="72"/>
    </row>
    <row r="69" spans="2:17" x14ac:dyDescent="0.2">
      <c r="B69" s="46"/>
      <c r="C69" s="55" t="s">
        <v>42</v>
      </c>
      <c r="D69" s="73" t="s">
        <v>75</v>
      </c>
      <c r="E69" s="80">
        <f>E55</f>
        <v>105.2009</v>
      </c>
      <c r="F69" s="80">
        <f t="shared" ref="F69:J69" si="116">F55</f>
        <v>92.444186273924601</v>
      </c>
      <c r="G69" s="80">
        <f t="shared" si="116"/>
        <v>103.46929143245424</v>
      </c>
      <c r="H69" s="80">
        <f t="shared" si="116"/>
        <v>110.67368378759213</v>
      </c>
      <c r="I69" s="80">
        <f t="shared" si="116"/>
        <v>117.54202922709989</v>
      </c>
      <c r="J69" s="80">
        <f t="shared" si="116"/>
        <v>122.36566034033027</v>
      </c>
      <c r="K69" s="80">
        <f t="shared" ref="K69:N69" si="117">K55</f>
        <v>126.27235719697919</v>
      </c>
      <c r="L69" s="80">
        <f t="shared" si="117"/>
        <v>128.42042793846014</v>
      </c>
      <c r="M69" s="80">
        <f t="shared" si="117"/>
        <v>129.50055025044097</v>
      </c>
      <c r="N69" s="80">
        <f t="shared" si="117"/>
        <v>129.79317106340346</v>
      </c>
      <c r="O69" s="80"/>
      <c r="Q69" s="46"/>
    </row>
    <row r="70" spans="2:17" x14ac:dyDescent="0.2">
      <c r="B70" s="46"/>
      <c r="C70" s="55" t="s">
        <v>43</v>
      </c>
      <c r="D70" s="73" t="s">
        <v>75</v>
      </c>
      <c r="E70" s="80">
        <f>-E69*Historicals!$H$65</f>
        <v>-31.548274458380835</v>
      </c>
      <c r="F70" s="80">
        <f>-F69*Assumptions!E131</f>
        <v>-28.195476813547003</v>
      </c>
      <c r="G70" s="80">
        <f>-G69*Assumptions!F131</f>
        <v>-31.558133886898542</v>
      </c>
      <c r="H70" s="80">
        <f>-H69*Assumptions!G131</f>
        <v>-33.755473555215595</v>
      </c>
      <c r="I70" s="80">
        <f>-I69*Assumptions!H131</f>
        <v>-35.850318914265465</v>
      </c>
      <c r="J70" s="80">
        <f>-J69*Assumptions!I131</f>
        <v>-37.321526403800732</v>
      </c>
      <c r="K70" s="80">
        <f>-K69*Assumptions!J131</f>
        <v>-38.513068945078651</v>
      </c>
      <c r="L70" s="80">
        <f>-L69*Assumptions!K131</f>
        <v>-39.168230521230342</v>
      </c>
      <c r="M70" s="80">
        <f>-M69*Assumptions!L131</f>
        <v>-39.497667826384493</v>
      </c>
      <c r="N70" s="80">
        <f>-N69*Assumptions!M131</f>
        <v>-39.586917174338055</v>
      </c>
      <c r="O70" s="80"/>
      <c r="P70" s="27" t="s">
        <v>297</v>
      </c>
      <c r="Q70" s="46"/>
    </row>
    <row r="71" spans="2:17" x14ac:dyDescent="0.2">
      <c r="B71" s="46"/>
      <c r="C71" s="62" t="s">
        <v>44</v>
      </c>
      <c r="D71" s="85" t="s">
        <v>75</v>
      </c>
      <c r="E71" s="82">
        <f>E69+E70</f>
        <v>73.652625541619173</v>
      </c>
      <c r="F71" s="82">
        <f t="shared" ref="F71:J71" si="118">F69+F70</f>
        <v>64.248709460377597</v>
      </c>
      <c r="G71" s="82">
        <f t="shared" si="118"/>
        <v>71.911157545555696</v>
      </c>
      <c r="H71" s="82">
        <f t="shared" si="118"/>
        <v>76.918210232376538</v>
      </c>
      <c r="I71" s="82">
        <f t="shared" si="118"/>
        <v>81.691710312834431</v>
      </c>
      <c r="J71" s="82">
        <f t="shared" si="118"/>
        <v>85.044133936529533</v>
      </c>
      <c r="K71" s="82">
        <f t="shared" ref="K71" si="119">K69+K70</f>
        <v>87.759288251900529</v>
      </c>
      <c r="L71" s="82">
        <f t="shared" ref="L71" si="120">L69+L70</f>
        <v>89.252197417229794</v>
      </c>
      <c r="M71" s="82">
        <f t="shared" ref="M71" si="121">M69+M70</f>
        <v>90.00288242405648</v>
      </c>
      <c r="N71" s="82">
        <f t="shared" ref="N71" si="122">N69+N70</f>
        <v>90.206253889065408</v>
      </c>
      <c r="O71" s="86"/>
      <c r="Q71" s="46"/>
    </row>
    <row r="72" spans="2:17" x14ac:dyDescent="0.2">
      <c r="B72" s="46"/>
      <c r="C72" s="55" t="s">
        <v>45</v>
      </c>
      <c r="D72" s="73" t="s">
        <v>75</v>
      </c>
      <c r="E72" s="80">
        <f>-E51</f>
        <v>55.600000000000009</v>
      </c>
      <c r="F72" s="80">
        <f t="shared" ref="F72:J72" si="123">-F51</f>
        <v>60.739511970047978</v>
      </c>
      <c r="G72" s="80">
        <f t="shared" si="123"/>
        <v>58.085881595890761</v>
      </c>
      <c r="H72" s="80">
        <f t="shared" si="123"/>
        <v>56.052013537658901</v>
      </c>
      <c r="I72" s="80">
        <f t="shared" si="123"/>
        <v>55.698373284893719</v>
      </c>
      <c r="J72" s="80">
        <f t="shared" si="123"/>
        <v>57.09105128296877</v>
      </c>
      <c r="K72" s="80">
        <f t="shared" ref="K72:N72" si="124">-K51</f>
        <v>59.685104146351854</v>
      </c>
      <c r="L72" s="80">
        <f t="shared" si="124"/>
        <v>62.985444307744046</v>
      </c>
      <c r="M72" s="80">
        <f t="shared" si="124"/>
        <v>66.754327363896891</v>
      </c>
      <c r="N72" s="80">
        <f t="shared" si="124"/>
        <v>71.043458833925513</v>
      </c>
      <c r="O72" s="80"/>
      <c r="Q72" s="46"/>
    </row>
    <row r="73" spans="2:17" x14ac:dyDescent="0.2">
      <c r="B73" s="46"/>
      <c r="C73" s="55" t="s">
        <v>46</v>
      </c>
      <c r="D73" s="73" t="s">
        <v>75</v>
      </c>
      <c r="E73" s="80">
        <f>-E61</f>
        <v>-51.900000000000006</v>
      </c>
      <c r="F73" s="80">
        <f t="shared" ref="F73:J73" si="125">-F61</f>
        <v>-86.644203839597736</v>
      </c>
      <c r="G73" s="80">
        <f t="shared" si="125"/>
        <v>-74.849467805737021</v>
      </c>
      <c r="H73" s="80">
        <f t="shared" si="125"/>
        <v>-67.007421923188957</v>
      </c>
      <c r="I73" s="80">
        <f t="shared" si="125"/>
        <v>-69.496796144285668</v>
      </c>
      <c r="J73" s="80">
        <f t="shared" si="125"/>
        <v>-72.042245420096663</v>
      </c>
      <c r="K73" s="80">
        <f t="shared" ref="K73:N73" si="126">-K61</f>
        <v>-69.815476824695025</v>
      </c>
      <c r="L73" s="80">
        <f t="shared" si="126"/>
        <v>-67.190523848408191</v>
      </c>
      <c r="M73" s="80">
        <f t="shared" si="126"/>
        <v>-64.1369925506866</v>
      </c>
      <c r="N73" s="80">
        <f t="shared" si="126"/>
        <v>-65.97968643881174</v>
      </c>
      <c r="O73" s="80"/>
      <c r="Q73" s="46"/>
    </row>
    <row r="74" spans="2:17" x14ac:dyDescent="0.2">
      <c r="B74" s="46"/>
      <c r="C74" s="55" t="s">
        <v>47</v>
      </c>
      <c r="D74" s="73" t="s">
        <v>75</v>
      </c>
      <c r="E74" s="80">
        <f>E65</f>
        <v>0</v>
      </c>
      <c r="F74" s="40">
        <f t="shared" ref="F74:J74" si="127">F65</f>
        <v>-50.6</v>
      </c>
      <c r="G74" s="80">
        <f t="shared" si="127"/>
        <v>0</v>
      </c>
      <c r="H74" s="80">
        <f t="shared" si="127"/>
        <v>0</v>
      </c>
      <c r="I74" s="80">
        <f t="shared" si="127"/>
        <v>0</v>
      </c>
      <c r="J74" s="80">
        <f t="shared" si="127"/>
        <v>0</v>
      </c>
      <c r="K74" s="80">
        <f t="shared" ref="K74:N74" si="128">K65</f>
        <v>0</v>
      </c>
      <c r="L74" s="80">
        <f t="shared" si="128"/>
        <v>0</v>
      </c>
      <c r="M74" s="80">
        <f t="shared" si="128"/>
        <v>0</v>
      </c>
      <c r="N74" s="80">
        <f t="shared" si="128"/>
        <v>0</v>
      </c>
      <c r="O74" s="80"/>
      <c r="Q74" s="46"/>
    </row>
    <row r="75" spans="2:17" x14ac:dyDescent="0.2">
      <c r="B75" s="46"/>
      <c r="C75" s="55" t="s">
        <v>48</v>
      </c>
      <c r="D75" s="73" t="s">
        <v>75</v>
      </c>
      <c r="E75" s="80">
        <f>E64</f>
        <v>0</v>
      </c>
      <c r="F75" s="80">
        <f t="shared" ref="F75:J75" si="129">F64</f>
        <v>3.2785605588938012</v>
      </c>
      <c r="G75" s="80">
        <f t="shared" si="129"/>
        <v>6.3771089554487475</v>
      </c>
      <c r="H75" s="80">
        <f t="shared" si="129"/>
        <v>4.3995133454571658</v>
      </c>
      <c r="I75" s="80">
        <f t="shared" si="129"/>
        <v>4.6376340069703872</v>
      </c>
      <c r="J75" s="80">
        <f t="shared" si="129"/>
        <v>4.7717265291132094</v>
      </c>
      <c r="K75" s="80">
        <f t="shared" ref="K75:N75" si="130">K64</f>
        <v>4.6468577066482908</v>
      </c>
      <c r="L75" s="80">
        <f t="shared" si="130"/>
        <v>4.2446776654010421</v>
      </c>
      <c r="M75" s="80">
        <f t="shared" si="130"/>
        <v>3.8176425489266279</v>
      </c>
      <c r="N75" s="80">
        <f t="shared" si="130"/>
        <v>3.6412245150818592</v>
      </c>
      <c r="O75" s="80"/>
      <c r="Q75" s="46"/>
    </row>
    <row r="76" spans="2:17" ht="17" thickBot="1" x14ac:dyDescent="0.25">
      <c r="B76" s="46"/>
      <c r="C76" s="88" t="s">
        <v>49</v>
      </c>
      <c r="D76" s="90" t="s">
        <v>75</v>
      </c>
      <c r="E76" s="89">
        <f>SUM(E71:E75)</f>
        <v>77.352625541619176</v>
      </c>
      <c r="F76" s="89">
        <f t="shared" ref="F76:J76" si="131">SUM(F71:F75)</f>
        <v>-8.9774218502783683</v>
      </c>
      <c r="G76" s="89">
        <f t="shared" si="131"/>
        <v>61.524680291158191</v>
      </c>
      <c r="H76" s="89">
        <f t="shared" si="131"/>
        <v>70.36231519230364</v>
      </c>
      <c r="I76" s="89">
        <f t="shared" si="131"/>
        <v>72.530921460412884</v>
      </c>
      <c r="J76" s="89">
        <f t="shared" si="131"/>
        <v>74.864666328514858</v>
      </c>
      <c r="K76" s="89">
        <f t="shared" ref="K76" si="132">SUM(K71:K75)</f>
        <v>82.275773280205641</v>
      </c>
      <c r="L76" s="89">
        <f t="shared" ref="L76" si="133">SUM(L71:L75)</f>
        <v>89.291795541966707</v>
      </c>
      <c r="M76" s="89">
        <f t="shared" ref="M76" si="134">SUM(M71:M75)</f>
        <v>96.4378597861934</v>
      </c>
      <c r="N76" s="89">
        <f t="shared" ref="N76" si="135">SUM(N71:N75)</f>
        <v>98.91125079926104</v>
      </c>
      <c r="O76" s="86"/>
      <c r="Q76" s="46"/>
    </row>
    <row r="77" spans="2:17" ht="17" thickTop="1" x14ac:dyDescent="0.2">
      <c r="B77" s="46"/>
      <c r="C77" s="46"/>
      <c r="D77" s="73"/>
      <c r="E77" s="56"/>
      <c r="F77" s="56"/>
      <c r="G77" s="56"/>
      <c r="H77" s="56"/>
      <c r="I77" s="56"/>
      <c r="J77" s="56"/>
      <c r="K77" s="56"/>
      <c r="L77" s="56"/>
      <c r="M77" s="56"/>
      <c r="N77" s="56"/>
      <c r="O77" s="56"/>
      <c r="Q77" s="46"/>
    </row>
    <row r="78" spans="2:17" x14ac:dyDescent="0.2">
      <c r="B78" s="46"/>
      <c r="C78" s="48" t="s">
        <v>51</v>
      </c>
      <c r="D78" s="75"/>
      <c r="E78" s="77"/>
      <c r="F78" s="77"/>
      <c r="G78" s="77"/>
      <c r="H78" s="77"/>
      <c r="I78" s="77"/>
      <c r="J78" s="72"/>
      <c r="K78" s="72"/>
      <c r="L78" s="72"/>
      <c r="M78" s="72"/>
      <c r="N78" s="72"/>
      <c r="O78" s="72"/>
      <c r="P78" s="72"/>
      <c r="Q78" s="46"/>
    </row>
    <row r="79" spans="2:17" x14ac:dyDescent="0.2">
      <c r="B79" s="46"/>
      <c r="C79" s="55" t="s">
        <v>52</v>
      </c>
      <c r="D79" s="73" t="s">
        <v>75</v>
      </c>
      <c r="E79" s="80">
        <f>E76</f>
        <v>77.352625541619176</v>
      </c>
      <c r="F79" s="80">
        <f t="shared" ref="F79:J79" si="136">F76</f>
        <v>-8.9774218502783683</v>
      </c>
      <c r="G79" s="80">
        <f t="shared" si="136"/>
        <v>61.524680291158191</v>
      </c>
      <c r="H79" s="80">
        <f t="shared" si="136"/>
        <v>70.36231519230364</v>
      </c>
      <c r="I79" s="80">
        <f t="shared" si="136"/>
        <v>72.530921460412884</v>
      </c>
      <c r="J79" s="80">
        <f t="shared" si="136"/>
        <v>74.864666328514858</v>
      </c>
      <c r="K79" s="80">
        <f t="shared" ref="K79:N79" si="137">K76</f>
        <v>82.275773280205641</v>
      </c>
      <c r="L79" s="80">
        <f t="shared" si="137"/>
        <v>89.291795541966707</v>
      </c>
      <c r="M79" s="80">
        <f t="shared" si="137"/>
        <v>96.4378597861934</v>
      </c>
      <c r="N79" s="80">
        <f t="shared" si="137"/>
        <v>98.91125079926104</v>
      </c>
      <c r="O79" s="80"/>
      <c r="P79" s="27" t="s">
        <v>278</v>
      </c>
      <c r="Q79" s="46"/>
    </row>
    <row r="80" spans="2:17" x14ac:dyDescent="0.2">
      <c r="B80" s="46"/>
      <c r="C80" s="55" t="s">
        <v>53</v>
      </c>
      <c r="D80" s="73" t="s">
        <v>75</v>
      </c>
      <c r="E80" s="80">
        <f>E48</f>
        <v>160.80090000000001</v>
      </c>
      <c r="F80" s="80">
        <f t="shared" ref="F80:J80" si="138">F48</f>
        <v>153.18369824397257</v>
      </c>
      <c r="G80" s="80">
        <f t="shared" si="138"/>
        <v>161.555173028345</v>
      </c>
      <c r="H80" s="80">
        <f t="shared" si="138"/>
        <v>166.72569732525102</v>
      </c>
      <c r="I80" s="80">
        <f t="shared" si="138"/>
        <v>173.24040251199361</v>
      </c>
      <c r="J80" s="80">
        <f t="shared" si="138"/>
        <v>179.45671162329904</v>
      </c>
      <c r="K80" s="80">
        <f t="shared" ref="K80:N80" si="139">K48</f>
        <v>185.95746134333103</v>
      </c>
      <c r="L80" s="80">
        <f t="shared" si="139"/>
        <v>191.40587224620418</v>
      </c>
      <c r="M80" s="80">
        <f t="shared" si="139"/>
        <v>196.25487761433786</v>
      </c>
      <c r="N80" s="80">
        <f t="shared" si="139"/>
        <v>200.83662989732898</v>
      </c>
      <c r="O80" s="80"/>
      <c r="P80" s="27"/>
      <c r="Q80" s="46"/>
    </row>
    <row r="81" spans="2:17" x14ac:dyDescent="0.2">
      <c r="B81" s="46"/>
      <c r="C81" s="55" t="s">
        <v>54</v>
      </c>
      <c r="D81" s="73" t="s">
        <v>81</v>
      </c>
      <c r="E81" s="84">
        <f>E79/E80</f>
        <v>0.48104597388210618</v>
      </c>
      <c r="F81" s="84">
        <f t="shared" ref="F81:J81" si="140">F79/F80</f>
        <v>-5.8605595459513E-2</v>
      </c>
      <c r="G81" s="84">
        <f t="shared" si="140"/>
        <v>0.38082767105429444</v>
      </c>
      <c r="H81" s="84">
        <f t="shared" si="140"/>
        <v>0.42202441687821984</v>
      </c>
      <c r="I81" s="84">
        <f t="shared" si="140"/>
        <v>0.41867209039410708</v>
      </c>
      <c r="J81" s="84">
        <f t="shared" si="140"/>
        <v>0.41717395605501056</v>
      </c>
      <c r="K81" s="84">
        <f t="shared" ref="K81" si="141">K79/K80</f>
        <v>0.44244405513958307</v>
      </c>
      <c r="L81" s="84">
        <f t="shared" ref="L81" si="142">L79/L80</f>
        <v>0.46650499534889517</v>
      </c>
      <c r="M81" s="84">
        <f t="shared" ref="M81" si="143">M79/M80</f>
        <v>0.49139089411935161</v>
      </c>
      <c r="N81" s="84">
        <f t="shared" ref="N81" si="144">N79/N80</f>
        <v>0.49249606931676815</v>
      </c>
      <c r="O81" s="84"/>
      <c r="Q81" s="46"/>
    </row>
    <row r="82" spans="2:17" x14ac:dyDescent="0.2">
      <c r="B82" s="46"/>
      <c r="C82" s="46"/>
      <c r="D82" s="73"/>
      <c r="E82" s="56"/>
      <c r="F82" s="56"/>
      <c r="G82" s="56"/>
      <c r="H82" s="56"/>
      <c r="I82" s="56"/>
      <c r="J82" s="56"/>
      <c r="K82" s="56"/>
      <c r="L82" s="56"/>
      <c r="M82" s="56"/>
      <c r="N82" s="56"/>
      <c r="O82" s="56"/>
      <c r="Q82" s="46"/>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CC3FD-6DB3-8E4C-BC26-5E04216B22E8}">
  <dimension ref="B2:P56"/>
  <sheetViews>
    <sheetView showGridLines="0" workbookViewId="0">
      <selection activeCell="K33" sqref="K33"/>
    </sheetView>
  </sheetViews>
  <sheetFormatPr baseColWidth="10" defaultRowHeight="16" x14ac:dyDescent="0.2"/>
  <cols>
    <col min="1" max="2" width="2.83203125" customWidth="1"/>
    <col min="3" max="3" width="50.6640625" customWidth="1"/>
    <col min="11" max="11" width="8.33203125" bestFit="1" customWidth="1"/>
  </cols>
  <sheetData>
    <row r="2" spans="2:16" ht="20" x14ac:dyDescent="0.2">
      <c r="B2" s="45" t="s">
        <v>279</v>
      </c>
    </row>
    <row r="3" spans="2:16" x14ac:dyDescent="0.2">
      <c r="C3" s="15" t="s">
        <v>302</v>
      </c>
    </row>
    <row r="5" spans="2:16" x14ac:dyDescent="0.2">
      <c r="C5" s="17" t="s">
        <v>280</v>
      </c>
      <c r="D5" s="18" t="s">
        <v>59</v>
      </c>
      <c r="E5" s="19" t="s">
        <v>63</v>
      </c>
      <c r="F5" s="19" t="s">
        <v>132</v>
      </c>
      <c r="G5" s="19" t="s">
        <v>133</v>
      </c>
      <c r="H5" s="19" t="s">
        <v>134</v>
      </c>
      <c r="I5" s="19" t="s">
        <v>135</v>
      </c>
      <c r="J5" s="19" t="s">
        <v>136</v>
      </c>
      <c r="K5" s="19" t="s">
        <v>298</v>
      </c>
      <c r="L5" s="19" t="s">
        <v>299</v>
      </c>
      <c r="M5" s="19" t="s">
        <v>300</v>
      </c>
      <c r="N5" s="19" t="s">
        <v>301</v>
      </c>
      <c r="P5" s="17" t="s">
        <v>281</v>
      </c>
    </row>
    <row r="6" spans="2:16" x14ac:dyDescent="0.2">
      <c r="C6" s="16" t="s">
        <v>303</v>
      </c>
      <c r="D6" s="16"/>
      <c r="E6" s="16"/>
      <c r="F6" s="16"/>
      <c r="G6" s="16"/>
      <c r="H6" s="16"/>
      <c r="I6" s="16"/>
      <c r="J6" s="16"/>
      <c r="K6" s="16"/>
      <c r="L6" s="16"/>
      <c r="M6" s="16"/>
      <c r="N6" s="16"/>
      <c r="O6" s="16"/>
      <c r="P6" s="16"/>
    </row>
    <row r="7" spans="2:16" x14ac:dyDescent="0.2">
      <c r="C7" s="6" t="s">
        <v>304</v>
      </c>
      <c r="D7" s="7" t="s">
        <v>288</v>
      </c>
      <c r="E7" s="95">
        <v>15</v>
      </c>
      <c r="P7" s="27" t="s">
        <v>305</v>
      </c>
    </row>
    <row r="8" spans="2:16" x14ac:dyDescent="0.2">
      <c r="C8" s="6" t="s">
        <v>306</v>
      </c>
      <c r="D8" s="7" t="s">
        <v>288</v>
      </c>
      <c r="E8" s="22">
        <v>8</v>
      </c>
      <c r="P8" s="27" t="s">
        <v>307</v>
      </c>
    </row>
    <row r="9" spans="2:16" x14ac:dyDescent="0.2">
      <c r="C9" s="6" t="s">
        <v>308</v>
      </c>
      <c r="D9" s="7" t="s">
        <v>288</v>
      </c>
      <c r="E9" s="22">
        <v>4</v>
      </c>
      <c r="P9" s="27" t="s">
        <v>309</v>
      </c>
    </row>
    <row r="10" spans="2:16" x14ac:dyDescent="0.2">
      <c r="C10" s="6" t="s">
        <v>310</v>
      </c>
      <c r="D10" s="7" t="s">
        <v>81</v>
      </c>
      <c r="E10" s="96">
        <v>0.55000000000000004</v>
      </c>
      <c r="P10" s="27" t="s">
        <v>311</v>
      </c>
    </row>
    <row r="11" spans="2:16" x14ac:dyDescent="0.2">
      <c r="C11" s="6" t="s">
        <v>312</v>
      </c>
      <c r="D11" s="7" t="s">
        <v>81</v>
      </c>
      <c r="E11" s="67">
        <f>1-E10</f>
        <v>0.44999999999999996</v>
      </c>
    </row>
    <row r="12" spans="2:16" x14ac:dyDescent="0.2">
      <c r="C12" s="6" t="s">
        <v>313</v>
      </c>
      <c r="D12" s="7" t="s">
        <v>81</v>
      </c>
      <c r="E12" s="97">
        <f>E10/E7+E11/E8</f>
        <v>9.2916666666666661E-2</v>
      </c>
      <c r="P12" s="27" t="s">
        <v>314</v>
      </c>
    </row>
    <row r="13" spans="2:16" x14ac:dyDescent="0.2">
      <c r="C13" s="6" t="s">
        <v>315</v>
      </c>
      <c r="D13" s="7" t="s">
        <v>288</v>
      </c>
      <c r="E13" s="93">
        <f>1/E12</f>
        <v>10.762331838565023</v>
      </c>
    </row>
    <row r="14" spans="2:16" x14ac:dyDescent="0.2">
      <c r="C14" s="6" t="s">
        <v>316</v>
      </c>
      <c r="D14" s="7" t="s">
        <v>317</v>
      </c>
      <c r="E14" s="95">
        <v>1</v>
      </c>
      <c r="P14" s="27" t="s">
        <v>318</v>
      </c>
    </row>
    <row r="16" spans="2:16" x14ac:dyDescent="0.2">
      <c r="C16" s="16" t="s">
        <v>319</v>
      </c>
      <c r="D16" s="16"/>
      <c r="E16" s="16"/>
      <c r="F16" s="16"/>
      <c r="G16" s="16"/>
      <c r="H16" s="16"/>
      <c r="I16" s="16"/>
      <c r="J16" s="16"/>
      <c r="K16" s="16"/>
      <c r="L16" s="16"/>
      <c r="M16" s="16"/>
      <c r="N16" s="16"/>
      <c r="O16" s="16"/>
      <c r="P16" s="16"/>
    </row>
    <row r="17" spans="3:16" x14ac:dyDescent="0.2">
      <c r="C17" s="6" t="s">
        <v>320</v>
      </c>
      <c r="D17" s="7" t="s">
        <v>75</v>
      </c>
      <c r="E17" s="40">
        <f>-Model!E59</f>
        <v>13.8</v>
      </c>
      <c r="F17" s="40">
        <f>-Model!F59</f>
        <v>18.599999999999998</v>
      </c>
      <c r="G17" s="40">
        <f>-Model!G59</f>
        <v>23.95</v>
      </c>
      <c r="H17" s="40">
        <f>-Model!H59</f>
        <v>24.5</v>
      </c>
      <c r="I17" s="40">
        <f>-Model!I59</f>
        <v>25.049999999999997</v>
      </c>
      <c r="J17" s="40">
        <f>-Model!J59</f>
        <v>25.6</v>
      </c>
      <c r="K17" s="40">
        <f>-Model!K59</f>
        <v>21.43</v>
      </c>
      <c r="L17" s="40">
        <f>-Model!L59</f>
        <v>17.03</v>
      </c>
      <c r="M17" s="40">
        <f>-Model!M59</f>
        <v>12.379999999999999</v>
      </c>
      <c r="N17" s="40">
        <f>-Model!N59</f>
        <v>12.7</v>
      </c>
    </row>
    <row r="18" spans="3:16" x14ac:dyDescent="0.2">
      <c r="C18" s="6" t="s">
        <v>321</v>
      </c>
      <c r="D18" s="7" t="s">
        <v>75</v>
      </c>
      <c r="E18" s="40">
        <f>-Model!E58</f>
        <v>38.1</v>
      </c>
      <c r="F18" s="40">
        <f>-Model!F58</f>
        <v>33.044203839597742</v>
      </c>
      <c r="G18" s="40">
        <f>-Model!G58</f>
        <v>38.899467805737018</v>
      </c>
      <c r="H18" s="40">
        <f>-Model!H58</f>
        <v>42.507421923188964</v>
      </c>
      <c r="I18" s="40">
        <f>-Model!I58</f>
        <v>44.44679614428567</v>
      </c>
      <c r="J18" s="40">
        <f>-Model!J58</f>
        <v>46.442245420096654</v>
      </c>
      <c r="K18" s="40">
        <f>-Model!K58</f>
        <v>48.385476824695026</v>
      </c>
      <c r="L18" s="40">
        <f>-Model!L58</f>
        <v>50.160523848408189</v>
      </c>
      <c r="M18" s="40">
        <f>-Model!M58</f>
        <v>51.756992550686597</v>
      </c>
      <c r="N18" s="40">
        <f>-Model!N58</f>
        <v>53.279686438811744</v>
      </c>
    </row>
    <row r="19" spans="3:16" x14ac:dyDescent="0.2">
      <c r="C19" s="6" t="s">
        <v>322</v>
      </c>
      <c r="D19" s="7" t="s">
        <v>75</v>
      </c>
      <c r="E19" s="40">
        <f>-Model!E60</f>
        <v>0</v>
      </c>
      <c r="F19" s="40">
        <f>-Model!F60</f>
        <v>35</v>
      </c>
      <c r="G19" s="40">
        <f>-Model!G60</f>
        <v>12</v>
      </c>
      <c r="H19" s="40">
        <f>-Model!H60</f>
        <v>0</v>
      </c>
      <c r="I19" s="40">
        <f>-Model!I60</f>
        <v>0</v>
      </c>
      <c r="J19" s="40">
        <f>-Model!J60</f>
        <v>0</v>
      </c>
      <c r="K19" s="40">
        <f>-Model!K60</f>
        <v>0</v>
      </c>
      <c r="L19" s="40">
        <f>-Model!L60</f>
        <v>0</v>
      </c>
      <c r="M19" s="40">
        <f>-Model!M60</f>
        <v>0</v>
      </c>
      <c r="N19" s="40">
        <f>-Model!N60</f>
        <v>0</v>
      </c>
    </row>
    <row r="20" spans="3:16" x14ac:dyDescent="0.2">
      <c r="C20" s="6" t="s">
        <v>323</v>
      </c>
      <c r="D20" s="7" t="s">
        <v>75</v>
      </c>
      <c r="E20" s="2">
        <f>-Model!E65</f>
        <v>0</v>
      </c>
      <c r="F20" s="2">
        <v>20</v>
      </c>
      <c r="G20" s="2">
        <f>-Model!G65</f>
        <v>0</v>
      </c>
      <c r="H20" s="2">
        <f>-Model!H65</f>
        <v>0</v>
      </c>
      <c r="I20" s="2">
        <f>-Model!I65</f>
        <v>0</v>
      </c>
      <c r="J20" s="2">
        <f>-Model!J65</f>
        <v>0</v>
      </c>
      <c r="K20" s="2">
        <f>-Model!K65</f>
        <v>0</v>
      </c>
      <c r="L20" s="2">
        <f>-Model!L65</f>
        <v>0</v>
      </c>
      <c r="M20" s="2">
        <f>-Model!M65</f>
        <v>0</v>
      </c>
      <c r="N20" s="2">
        <f>-Model!N65</f>
        <v>0</v>
      </c>
      <c r="P20" s="27" t="s">
        <v>324</v>
      </c>
    </row>
    <row r="21" spans="3:16" x14ac:dyDescent="0.2">
      <c r="C21" s="10" t="s">
        <v>284</v>
      </c>
      <c r="D21" s="7" t="s">
        <v>75</v>
      </c>
      <c r="E21" s="91">
        <f t="shared" ref="E21:N21" si="0">SUM(E17:E20)</f>
        <v>51.900000000000006</v>
      </c>
      <c r="F21" s="91">
        <f t="shared" si="0"/>
        <v>106.64420383959774</v>
      </c>
      <c r="G21" s="91">
        <f t="shared" si="0"/>
        <v>74.849467805737021</v>
      </c>
      <c r="H21" s="91">
        <f t="shared" si="0"/>
        <v>67.007421923188957</v>
      </c>
      <c r="I21" s="91">
        <f t="shared" si="0"/>
        <v>69.496796144285668</v>
      </c>
      <c r="J21" s="91">
        <f t="shared" si="0"/>
        <v>72.042245420096663</v>
      </c>
      <c r="K21" s="91">
        <f t="shared" si="0"/>
        <v>69.815476824695025</v>
      </c>
      <c r="L21" s="91">
        <f t="shared" si="0"/>
        <v>67.190523848408191</v>
      </c>
      <c r="M21" s="91">
        <f t="shared" si="0"/>
        <v>64.1369925506866</v>
      </c>
      <c r="N21" s="91">
        <f t="shared" si="0"/>
        <v>65.97968643881174</v>
      </c>
    </row>
    <row r="23" spans="3:16" x14ac:dyDescent="0.2">
      <c r="C23" s="16" t="s">
        <v>325</v>
      </c>
      <c r="D23" s="16"/>
      <c r="E23" s="16"/>
      <c r="F23" s="16"/>
      <c r="G23" s="16"/>
      <c r="H23" s="16"/>
      <c r="I23" s="16"/>
      <c r="J23" s="16"/>
      <c r="K23" s="16"/>
      <c r="L23" s="16"/>
      <c r="M23" s="16"/>
      <c r="N23" s="16"/>
      <c r="O23" s="16"/>
      <c r="P23" s="16"/>
    </row>
    <row r="24" spans="3:16" x14ac:dyDescent="0.2">
      <c r="C24" s="15" t="s">
        <v>326</v>
      </c>
    </row>
    <row r="25" spans="3:16" x14ac:dyDescent="0.2">
      <c r="C25" s="6" t="s">
        <v>327</v>
      </c>
      <c r="D25" s="7" t="s">
        <v>75</v>
      </c>
      <c r="F25" s="9">
        <f>E45</f>
        <v>238.8</v>
      </c>
      <c r="G25" s="9">
        <f t="shared" ref="G25:N25" si="1">F28</f>
        <v>186.9</v>
      </c>
      <c r="H25" s="9">
        <f t="shared" si="1"/>
        <v>146.27977386934674</v>
      </c>
      <c r="I25" s="9">
        <f t="shared" si="1"/>
        <v>114.48781296558168</v>
      </c>
      <c r="J25" s="9">
        <f t="shared" si="1"/>
        <v>89.605411403966571</v>
      </c>
      <c r="K25" s="9">
        <f t="shared" si="1"/>
        <v>70.130868473204998</v>
      </c>
      <c r="L25" s="9">
        <f t="shared" si="1"/>
        <v>54.888858114078786</v>
      </c>
      <c r="M25" s="9">
        <f t="shared" si="1"/>
        <v>42.959495735013924</v>
      </c>
      <c r="N25" s="9">
        <f t="shared" si="1"/>
        <v>33.622821410695572</v>
      </c>
    </row>
    <row r="26" spans="3:16" x14ac:dyDescent="0.2">
      <c r="C26" s="6" t="s">
        <v>328</v>
      </c>
      <c r="D26" s="7" t="s">
        <v>81</v>
      </c>
      <c r="E26" s="98">
        <f>-E38/E45</f>
        <v>0.21733668341708545</v>
      </c>
      <c r="P26" s="27" t="s">
        <v>329</v>
      </c>
    </row>
    <row r="27" spans="3:16" x14ac:dyDescent="0.2">
      <c r="C27" s="6" t="s">
        <v>330</v>
      </c>
      <c r="D27" s="7" t="s">
        <v>75</v>
      </c>
      <c r="F27" s="9">
        <f>-F25*$E$26</f>
        <v>-51.900000000000006</v>
      </c>
      <c r="G27" s="9">
        <f t="shared" ref="G27:N27" si="2">-G25*$E$26</f>
        <v>-40.620226130653272</v>
      </c>
      <c r="H27" s="9">
        <f t="shared" si="2"/>
        <v>-31.791960903765062</v>
      </c>
      <c r="I27" s="9">
        <f t="shared" si="2"/>
        <v>-24.882401561615119</v>
      </c>
      <c r="J27" s="9">
        <f t="shared" si="2"/>
        <v>-19.474542930761579</v>
      </c>
      <c r="K27" s="9">
        <f t="shared" si="2"/>
        <v>-15.242010359126214</v>
      </c>
      <c r="L27" s="9">
        <f t="shared" si="2"/>
        <v>-11.929362379064862</v>
      </c>
      <c r="M27" s="9">
        <f t="shared" si="2"/>
        <v>-9.3366743243183539</v>
      </c>
      <c r="N27" s="9">
        <f t="shared" si="2"/>
        <v>-7.3074724925255463</v>
      </c>
    </row>
    <row r="28" spans="3:16" x14ac:dyDescent="0.2">
      <c r="C28" s="6" t="s">
        <v>331</v>
      </c>
      <c r="D28" s="7" t="s">
        <v>75</v>
      </c>
      <c r="F28" s="9">
        <f t="shared" ref="F28:N28" si="3">F25+F27</f>
        <v>186.9</v>
      </c>
      <c r="G28" s="9">
        <f t="shared" si="3"/>
        <v>146.27977386934674</v>
      </c>
      <c r="H28" s="9">
        <f t="shared" si="3"/>
        <v>114.48781296558168</v>
      </c>
      <c r="I28" s="9">
        <f t="shared" si="3"/>
        <v>89.605411403966571</v>
      </c>
      <c r="J28" s="9">
        <f t="shared" si="3"/>
        <v>70.130868473204998</v>
      </c>
      <c r="K28" s="9">
        <f t="shared" si="3"/>
        <v>54.888858114078786</v>
      </c>
      <c r="L28" s="9">
        <f t="shared" si="3"/>
        <v>42.959495735013924</v>
      </c>
      <c r="M28" s="9">
        <f t="shared" si="3"/>
        <v>33.622821410695572</v>
      </c>
      <c r="N28" s="9">
        <f t="shared" si="3"/>
        <v>26.315348918170024</v>
      </c>
    </row>
    <row r="29" spans="3:16" x14ac:dyDescent="0.2">
      <c r="C29" s="6" t="s">
        <v>332</v>
      </c>
      <c r="D29" s="7" t="s">
        <v>75</v>
      </c>
      <c r="F29" s="9">
        <f>-F21*$E$12*IF($E$14=1,0.5,1)</f>
        <v>-4.9545119700479781</v>
      </c>
      <c r="G29" s="9">
        <f>-$F21*$E$12</f>
        <v>-9.9090239400959561</v>
      </c>
      <c r="H29" s="9">
        <f t="shared" ref="H29:N29" si="4">-$F21*$E$12</f>
        <v>-9.9090239400959561</v>
      </c>
      <c r="I29" s="9">
        <f t="shared" si="4"/>
        <v>-9.9090239400959561</v>
      </c>
      <c r="J29" s="9">
        <f t="shared" si="4"/>
        <v>-9.9090239400959561</v>
      </c>
      <c r="K29" s="9">
        <f t="shared" si="4"/>
        <v>-9.9090239400959561</v>
      </c>
      <c r="L29" s="9">
        <f t="shared" si="4"/>
        <v>-9.9090239400959561</v>
      </c>
      <c r="M29" s="9">
        <f t="shared" si="4"/>
        <v>-9.9090239400959561</v>
      </c>
      <c r="N29" s="9">
        <f t="shared" si="4"/>
        <v>-9.9090239400959561</v>
      </c>
    </row>
    <row r="30" spans="3:16" x14ac:dyDescent="0.2">
      <c r="C30" s="6" t="s">
        <v>333</v>
      </c>
      <c r="D30" s="7" t="s">
        <v>75</v>
      </c>
      <c r="F30" s="9">
        <v>0</v>
      </c>
      <c r="G30" s="9">
        <f>-G21*$E$12*IF($E$14=1,0.5,1)</f>
        <v>-3.4773815251415323</v>
      </c>
      <c r="H30" s="9">
        <f>-$G21*$E$12</f>
        <v>-6.9547630502830646</v>
      </c>
      <c r="I30" s="9">
        <f t="shared" ref="I30:N30" si="5">-$G21*$E$12</f>
        <v>-6.9547630502830646</v>
      </c>
      <c r="J30" s="9">
        <f t="shared" si="5"/>
        <v>-6.9547630502830646</v>
      </c>
      <c r="K30" s="9">
        <f t="shared" si="5"/>
        <v>-6.9547630502830646</v>
      </c>
      <c r="L30" s="9">
        <f t="shared" si="5"/>
        <v>-6.9547630502830646</v>
      </c>
      <c r="M30" s="9">
        <f t="shared" si="5"/>
        <v>-6.9547630502830646</v>
      </c>
      <c r="N30" s="9">
        <f t="shared" si="5"/>
        <v>-6.9547630502830646</v>
      </c>
    </row>
    <row r="31" spans="3:16" x14ac:dyDescent="0.2">
      <c r="C31" s="6" t="s">
        <v>334</v>
      </c>
      <c r="D31" s="7" t="s">
        <v>75</v>
      </c>
      <c r="F31" s="9">
        <v>0</v>
      </c>
      <c r="G31" s="9">
        <v>0</v>
      </c>
      <c r="H31" s="9">
        <f>-H21*$E$12*IF($E$14=1,0.5,1)</f>
        <v>-3.1130531435148203</v>
      </c>
      <c r="I31" s="9">
        <f>-$H21*$E$12</f>
        <v>-6.2261062870296406</v>
      </c>
      <c r="J31" s="9">
        <f t="shared" ref="J31:N31" si="6">-$H21*$E$12</f>
        <v>-6.2261062870296406</v>
      </c>
      <c r="K31" s="9">
        <f t="shared" si="6"/>
        <v>-6.2261062870296406</v>
      </c>
      <c r="L31" s="9">
        <f t="shared" si="6"/>
        <v>-6.2261062870296406</v>
      </c>
      <c r="M31" s="9">
        <f t="shared" si="6"/>
        <v>-6.2261062870296406</v>
      </c>
      <c r="N31" s="9">
        <f t="shared" si="6"/>
        <v>-6.2261062870296406</v>
      </c>
    </row>
    <row r="32" spans="3:16" x14ac:dyDescent="0.2">
      <c r="C32" s="6" t="s">
        <v>335</v>
      </c>
      <c r="D32" s="7" t="s">
        <v>75</v>
      </c>
      <c r="F32" s="9">
        <v>0</v>
      </c>
      <c r="G32" s="9">
        <v>0</v>
      </c>
      <c r="H32" s="9">
        <v>0</v>
      </c>
      <c r="I32" s="9">
        <f>-I21*$E$12*IF($E$14=1,0.5,1)</f>
        <v>-3.2287053208699383</v>
      </c>
      <c r="J32" s="9">
        <f>-$I21*$E$12</f>
        <v>-6.4574106417398767</v>
      </c>
      <c r="K32" s="9">
        <f t="shared" ref="K32:N32" si="7">-$I21*$E$12</f>
        <v>-6.4574106417398767</v>
      </c>
      <c r="L32" s="9">
        <f t="shared" si="7"/>
        <v>-6.4574106417398767</v>
      </c>
      <c r="M32" s="9">
        <f t="shared" si="7"/>
        <v>-6.4574106417398767</v>
      </c>
      <c r="N32" s="9">
        <f t="shared" si="7"/>
        <v>-6.4574106417398767</v>
      </c>
    </row>
    <row r="33" spans="3:16" x14ac:dyDescent="0.2">
      <c r="C33" s="6" t="s">
        <v>336</v>
      </c>
      <c r="D33" s="7" t="s">
        <v>75</v>
      </c>
      <c r="F33" s="9">
        <v>0</v>
      </c>
      <c r="G33" s="9">
        <v>0</v>
      </c>
      <c r="H33" s="9">
        <v>0</v>
      </c>
      <c r="I33" s="9">
        <v>0</v>
      </c>
      <c r="J33" s="9">
        <f>-J21*$E$12*IF($E$14=1,0.5,1)</f>
        <v>-3.3469626518086573</v>
      </c>
      <c r="K33" s="9">
        <f>-$J21*$E$12</f>
        <v>-6.6939253036173145</v>
      </c>
      <c r="L33" s="9">
        <f t="shared" ref="L33:N33" si="8">-$J21*$E$12</f>
        <v>-6.6939253036173145</v>
      </c>
      <c r="M33" s="9">
        <f t="shared" si="8"/>
        <v>-6.6939253036173145</v>
      </c>
      <c r="N33" s="9">
        <f t="shared" si="8"/>
        <v>-6.6939253036173145</v>
      </c>
    </row>
    <row r="34" spans="3:16" x14ac:dyDescent="0.2">
      <c r="C34" s="6" t="s">
        <v>337</v>
      </c>
      <c r="D34" s="7" t="s">
        <v>75</v>
      </c>
      <c r="F34" s="9">
        <v>0</v>
      </c>
      <c r="G34" s="9">
        <v>0</v>
      </c>
      <c r="H34" s="9">
        <v>0</v>
      </c>
      <c r="I34" s="9">
        <v>0</v>
      </c>
      <c r="J34" s="9">
        <v>0</v>
      </c>
      <c r="K34" s="9">
        <f>-K21*$E$12*IF($E$14=1,0.5,1)</f>
        <v>-3.2435106941472895</v>
      </c>
      <c r="L34" s="9">
        <f>-$K21*$E$12</f>
        <v>-6.4870213882945791</v>
      </c>
      <c r="M34" s="9">
        <f t="shared" ref="M34:N34" si="9">-$K21*$E$12</f>
        <v>-6.4870213882945791</v>
      </c>
      <c r="N34" s="9">
        <f t="shared" si="9"/>
        <v>-6.4870213882945791</v>
      </c>
    </row>
    <row r="35" spans="3:16" x14ac:dyDescent="0.2">
      <c r="C35" s="6" t="s">
        <v>338</v>
      </c>
      <c r="D35" s="7" t="s">
        <v>75</v>
      </c>
      <c r="F35" s="9">
        <v>0</v>
      </c>
      <c r="G35" s="9">
        <v>0</v>
      </c>
      <c r="H35" s="9">
        <v>0</v>
      </c>
      <c r="I35" s="9">
        <v>0</v>
      </c>
      <c r="J35" s="9">
        <v>0</v>
      </c>
      <c r="K35" s="9">
        <v>0</v>
      </c>
      <c r="L35" s="9">
        <f>-L21*$E$12*IF($E$14=1,0.5,1)</f>
        <v>-3.1215597537906303</v>
      </c>
      <c r="M35" s="9">
        <f>-$L21*$E$12</f>
        <v>-6.2431195075812607</v>
      </c>
      <c r="N35" s="9">
        <f>-$L21*$E$12</f>
        <v>-6.2431195075812607</v>
      </c>
    </row>
    <row r="36" spans="3:16" x14ac:dyDescent="0.2">
      <c r="C36" s="6" t="s">
        <v>339</v>
      </c>
      <c r="D36" s="7" t="s">
        <v>75</v>
      </c>
      <c r="F36" s="9">
        <v>0</v>
      </c>
      <c r="G36" s="9">
        <v>0</v>
      </c>
      <c r="H36" s="9">
        <v>0</v>
      </c>
      <c r="I36" s="9">
        <v>0</v>
      </c>
      <c r="J36" s="9">
        <v>0</v>
      </c>
      <c r="K36" s="9">
        <v>0</v>
      </c>
      <c r="L36" s="9">
        <v>0</v>
      </c>
      <c r="M36" s="9">
        <f>-M21*$E$12*IF($E$14=1,0.5,1)</f>
        <v>-2.9796977789173149</v>
      </c>
      <c r="N36" s="9">
        <f>-M21*$E$12</f>
        <v>-5.9593955578346298</v>
      </c>
    </row>
    <row r="37" spans="3:16" x14ac:dyDescent="0.2">
      <c r="C37" s="6" t="s">
        <v>340</v>
      </c>
      <c r="D37" s="7" t="s">
        <v>75</v>
      </c>
      <c r="F37" s="9">
        <v>0</v>
      </c>
      <c r="G37" s="9">
        <v>0</v>
      </c>
      <c r="H37" s="9">
        <v>0</v>
      </c>
      <c r="I37" s="9">
        <v>0</v>
      </c>
      <c r="J37" s="9">
        <v>0</v>
      </c>
      <c r="K37" s="9">
        <v>0</v>
      </c>
      <c r="L37" s="9">
        <v>0</v>
      </c>
      <c r="M37" s="9">
        <v>0</v>
      </c>
      <c r="N37" s="9">
        <f>-N21*$E$12*IF($E$14=1,0.5,1)</f>
        <v>-3.0653062658031285</v>
      </c>
    </row>
    <row r="38" spans="3:16" x14ac:dyDescent="0.2">
      <c r="C38" s="10" t="s">
        <v>341</v>
      </c>
      <c r="D38" s="7" t="s">
        <v>75</v>
      </c>
      <c r="E38" s="99">
        <f>-(Historicals!H14-Historicals!H67+E48)</f>
        <v>-51.900000000000006</v>
      </c>
      <c r="F38" s="91">
        <f t="shared" ref="F38:N38" si="10">F27+SUM(F29:F37)</f>
        <v>-56.85451197004798</v>
      </c>
      <c r="G38" s="91">
        <f t="shared" si="10"/>
        <v>-54.006631595890759</v>
      </c>
      <c r="H38" s="91">
        <f t="shared" si="10"/>
        <v>-51.768801037658903</v>
      </c>
      <c r="I38" s="91">
        <f t="shared" si="10"/>
        <v>-51.201000159893717</v>
      </c>
      <c r="J38" s="91">
        <f t="shared" si="10"/>
        <v>-52.368809501718772</v>
      </c>
      <c r="K38" s="91">
        <f t="shared" si="10"/>
        <v>-54.726750276039354</v>
      </c>
      <c r="L38" s="91">
        <f t="shared" si="10"/>
        <v>-57.779172743915922</v>
      </c>
      <c r="M38" s="91">
        <f t="shared" si="10"/>
        <v>-61.287742221877359</v>
      </c>
      <c r="N38" s="91">
        <f t="shared" si="10"/>
        <v>-65.303544434805005</v>
      </c>
      <c r="P38" s="27" t="s">
        <v>342</v>
      </c>
    </row>
    <row r="40" spans="3:16" x14ac:dyDescent="0.2">
      <c r="C40" s="16" t="s">
        <v>282</v>
      </c>
      <c r="D40" s="16"/>
      <c r="E40" s="16"/>
      <c r="F40" s="16"/>
      <c r="G40" s="16"/>
      <c r="H40" s="16"/>
      <c r="I40" s="16"/>
      <c r="J40" s="16"/>
      <c r="K40" s="16"/>
      <c r="L40" s="16"/>
      <c r="M40" s="16"/>
      <c r="N40" s="16"/>
      <c r="O40" s="16"/>
      <c r="P40" s="16"/>
    </row>
    <row r="41" spans="3:16" x14ac:dyDescent="0.2">
      <c r="C41" s="6" t="s">
        <v>283</v>
      </c>
      <c r="D41" s="7" t="s">
        <v>75</v>
      </c>
      <c r="E41" s="2">
        <v>247.4</v>
      </c>
      <c r="F41" s="9">
        <f t="shared" ref="F41:N41" si="11">E45</f>
        <v>238.8</v>
      </c>
      <c r="G41" s="9">
        <f t="shared" si="11"/>
        <v>288.58969186954982</v>
      </c>
      <c r="H41" s="9">
        <f t="shared" si="11"/>
        <v>309.43252807939609</v>
      </c>
      <c r="I41" s="9">
        <f t="shared" si="11"/>
        <v>324.67114896492615</v>
      </c>
      <c r="J41" s="9">
        <f t="shared" si="11"/>
        <v>342.96694494931808</v>
      </c>
      <c r="K41" s="9">
        <f t="shared" si="11"/>
        <v>362.64038086769597</v>
      </c>
      <c r="L41" s="9">
        <f t="shared" si="11"/>
        <v>377.72910741635161</v>
      </c>
      <c r="M41" s="9">
        <f t="shared" si="11"/>
        <v>387.14045852084388</v>
      </c>
      <c r="N41" s="9">
        <f t="shared" si="11"/>
        <v>389.98970884965314</v>
      </c>
      <c r="P41" s="15" t="s">
        <v>343</v>
      </c>
    </row>
    <row r="42" spans="3:16" x14ac:dyDescent="0.2">
      <c r="C42" s="6" t="s">
        <v>344</v>
      </c>
      <c r="D42" s="7" t="s">
        <v>75</v>
      </c>
      <c r="E42" s="9">
        <f t="shared" ref="E42:N42" si="12">E21</f>
        <v>51.900000000000006</v>
      </c>
      <c r="F42" s="9">
        <f t="shared" si="12"/>
        <v>106.64420383959774</v>
      </c>
      <c r="G42" s="9">
        <f t="shared" si="12"/>
        <v>74.849467805737021</v>
      </c>
      <c r="H42" s="9">
        <f t="shared" si="12"/>
        <v>67.007421923188957</v>
      </c>
      <c r="I42" s="9">
        <f t="shared" si="12"/>
        <v>69.496796144285668</v>
      </c>
      <c r="J42" s="9">
        <f t="shared" si="12"/>
        <v>72.042245420096663</v>
      </c>
      <c r="K42" s="9">
        <f t="shared" si="12"/>
        <v>69.815476824695025</v>
      </c>
      <c r="L42" s="9">
        <f t="shared" si="12"/>
        <v>67.190523848408191</v>
      </c>
      <c r="M42" s="9">
        <f t="shared" si="12"/>
        <v>64.1369925506866</v>
      </c>
      <c r="N42" s="9">
        <f t="shared" si="12"/>
        <v>65.97968643881174</v>
      </c>
    </row>
    <row r="43" spans="3:16" x14ac:dyDescent="0.2">
      <c r="C43" s="6" t="s">
        <v>285</v>
      </c>
      <c r="D43" s="7" t="s">
        <v>75</v>
      </c>
      <c r="E43" s="9">
        <f t="shared" ref="E43:N43" si="13">E38</f>
        <v>-51.900000000000006</v>
      </c>
      <c r="F43" s="9">
        <f t="shared" si="13"/>
        <v>-56.85451197004798</v>
      </c>
      <c r="G43" s="9">
        <f t="shared" si="13"/>
        <v>-54.006631595890759</v>
      </c>
      <c r="H43" s="9">
        <f t="shared" si="13"/>
        <v>-51.768801037658903</v>
      </c>
      <c r="I43" s="9">
        <f t="shared" si="13"/>
        <v>-51.201000159893717</v>
      </c>
      <c r="J43" s="9">
        <f t="shared" si="13"/>
        <v>-52.368809501718772</v>
      </c>
      <c r="K43" s="9">
        <f t="shared" si="13"/>
        <v>-54.726750276039354</v>
      </c>
      <c r="L43" s="9">
        <f t="shared" si="13"/>
        <v>-57.779172743915922</v>
      </c>
      <c r="M43" s="9">
        <f t="shared" si="13"/>
        <v>-61.287742221877359</v>
      </c>
      <c r="N43" s="9">
        <f t="shared" si="13"/>
        <v>-65.303544434805005</v>
      </c>
    </row>
    <row r="44" spans="3:16" x14ac:dyDescent="0.2">
      <c r="C44" s="6" t="s">
        <v>286</v>
      </c>
      <c r="D44" s="7" t="s">
        <v>75</v>
      </c>
      <c r="F44" s="2">
        <v>0</v>
      </c>
      <c r="G44" s="2">
        <v>0</v>
      </c>
      <c r="H44" s="2">
        <v>0</v>
      </c>
      <c r="I44" s="2">
        <v>0</v>
      </c>
      <c r="J44" s="2">
        <v>0</v>
      </c>
      <c r="K44" s="2">
        <v>0</v>
      </c>
      <c r="L44" s="2">
        <v>0</v>
      </c>
      <c r="M44" s="2">
        <v>0</v>
      </c>
      <c r="N44" s="2">
        <v>0</v>
      </c>
      <c r="P44" s="27" t="s">
        <v>345</v>
      </c>
    </row>
    <row r="45" spans="3:16" x14ac:dyDescent="0.2">
      <c r="C45" s="10" t="s">
        <v>287</v>
      </c>
      <c r="D45" s="7" t="s">
        <v>75</v>
      </c>
      <c r="E45" s="92">
        <v>238.8</v>
      </c>
      <c r="F45" s="91">
        <f t="shared" ref="F45:N45" si="14">F41+F42+F43+F44</f>
        <v>288.58969186954982</v>
      </c>
      <c r="G45" s="91">
        <f t="shared" si="14"/>
        <v>309.43252807939609</v>
      </c>
      <c r="H45" s="91">
        <f t="shared" si="14"/>
        <v>324.67114896492615</v>
      </c>
      <c r="I45" s="91">
        <f t="shared" si="14"/>
        <v>342.96694494931808</v>
      </c>
      <c r="J45" s="91">
        <f t="shared" si="14"/>
        <v>362.64038086769597</v>
      </c>
      <c r="K45" s="91">
        <f t="shared" si="14"/>
        <v>377.72910741635161</v>
      </c>
      <c r="L45" s="91">
        <f t="shared" si="14"/>
        <v>387.14045852084388</v>
      </c>
      <c r="M45" s="91">
        <f t="shared" si="14"/>
        <v>389.98970884965314</v>
      </c>
      <c r="N45" s="91">
        <f t="shared" si="14"/>
        <v>390.66585085365983</v>
      </c>
      <c r="P45" s="27" t="s">
        <v>346</v>
      </c>
    </row>
    <row r="47" spans="3:16" x14ac:dyDescent="0.2">
      <c r="C47" s="16" t="s">
        <v>289</v>
      </c>
      <c r="D47" s="16"/>
      <c r="E47" s="16"/>
      <c r="F47" s="16"/>
      <c r="G47" s="16"/>
      <c r="H47" s="16"/>
      <c r="I47" s="16"/>
      <c r="J47" s="16"/>
      <c r="K47" s="16"/>
      <c r="L47" s="16"/>
      <c r="M47" s="16"/>
      <c r="N47" s="16"/>
      <c r="O47" s="16"/>
      <c r="P47" s="16"/>
    </row>
    <row r="48" spans="3:16" x14ac:dyDescent="0.2">
      <c r="C48" s="6" t="s">
        <v>290</v>
      </c>
      <c r="D48" s="7" t="s">
        <v>75</v>
      </c>
      <c r="E48" s="2">
        <v>-3.7</v>
      </c>
      <c r="F48" s="9">
        <f t="shared" ref="F48:N48" si="15">E48*1.05</f>
        <v>-3.8850000000000002</v>
      </c>
      <c r="G48" s="9">
        <f t="shared" si="15"/>
        <v>-4.07925</v>
      </c>
      <c r="H48" s="9">
        <f t="shared" si="15"/>
        <v>-4.2832125000000003</v>
      </c>
      <c r="I48" s="9">
        <f t="shared" si="15"/>
        <v>-4.4973731250000002</v>
      </c>
      <c r="J48" s="9">
        <f t="shared" si="15"/>
        <v>-4.7222417812500002</v>
      </c>
      <c r="K48" s="9">
        <f t="shared" si="15"/>
        <v>-4.9583538703125001</v>
      </c>
      <c r="L48" s="9">
        <f t="shared" si="15"/>
        <v>-5.2062715638281256</v>
      </c>
      <c r="M48" s="9">
        <f t="shared" si="15"/>
        <v>-5.4665851420195324</v>
      </c>
      <c r="N48" s="9">
        <f t="shared" si="15"/>
        <v>-5.7399143991205088</v>
      </c>
      <c r="P48" s="27" t="s">
        <v>291</v>
      </c>
    </row>
    <row r="50" spans="3:16" x14ac:dyDescent="0.2">
      <c r="C50" s="16" t="s">
        <v>292</v>
      </c>
      <c r="D50" s="16"/>
      <c r="E50" s="16"/>
      <c r="F50" s="16"/>
      <c r="G50" s="16"/>
      <c r="H50" s="16"/>
      <c r="I50" s="16"/>
      <c r="J50" s="16"/>
      <c r="K50" s="16"/>
      <c r="L50" s="16"/>
      <c r="M50" s="16"/>
      <c r="N50" s="16"/>
      <c r="O50" s="16"/>
      <c r="P50" s="16"/>
    </row>
    <row r="51" spans="3:16" ht="17" thickBot="1" x14ac:dyDescent="0.25">
      <c r="C51" s="10" t="s">
        <v>293</v>
      </c>
      <c r="D51" s="7" t="s">
        <v>75</v>
      </c>
      <c r="E51" s="94">
        <f t="shared" ref="E51:N51" si="16">E38+E48</f>
        <v>-55.600000000000009</v>
      </c>
      <c r="F51" s="94">
        <f t="shared" si="16"/>
        <v>-60.739511970047978</v>
      </c>
      <c r="G51" s="94">
        <f t="shared" si="16"/>
        <v>-58.085881595890761</v>
      </c>
      <c r="H51" s="94">
        <f t="shared" si="16"/>
        <v>-56.052013537658901</v>
      </c>
      <c r="I51" s="94">
        <f t="shared" si="16"/>
        <v>-55.698373284893719</v>
      </c>
      <c r="J51" s="94">
        <f t="shared" si="16"/>
        <v>-57.09105128296877</v>
      </c>
      <c r="K51" s="94">
        <f t="shared" si="16"/>
        <v>-59.685104146351854</v>
      </c>
      <c r="L51" s="94">
        <f t="shared" si="16"/>
        <v>-62.985444307744046</v>
      </c>
      <c r="M51" s="94">
        <f t="shared" si="16"/>
        <v>-66.754327363896891</v>
      </c>
      <c r="N51" s="94">
        <f t="shared" si="16"/>
        <v>-71.043458833925513</v>
      </c>
      <c r="P51" s="15" t="s">
        <v>347</v>
      </c>
    </row>
    <row r="52" spans="3:16" ht="17" thickTop="1" x14ac:dyDescent="0.2">
      <c r="C52" s="6" t="s">
        <v>294</v>
      </c>
      <c r="D52" s="7" t="s">
        <v>106</v>
      </c>
      <c r="E52" s="68">
        <f t="shared" ref="E52:N52" si="17">IFERROR(-(E17+E18+E19)/E38,0)</f>
        <v>1</v>
      </c>
      <c r="F52" s="68">
        <f t="shared" si="17"/>
        <v>1.5239635490186518</v>
      </c>
      <c r="G52" s="68">
        <f t="shared" si="17"/>
        <v>1.3859310531677771</v>
      </c>
      <c r="H52" s="68">
        <f t="shared" si="17"/>
        <v>1.2943591618906687</v>
      </c>
      <c r="I52" s="68">
        <f t="shared" si="17"/>
        <v>1.3573327850482741</v>
      </c>
      <c r="J52" s="68">
        <f t="shared" si="17"/>
        <v>1.3756708641186925</v>
      </c>
      <c r="K52" s="68">
        <f t="shared" si="17"/>
        <v>1.2757102600199863</v>
      </c>
      <c r="L52" s="68">
        <f t="shared" si="17"/>
        <v>1.1628848364825934</v>
      </c>
      <c r="M52" s="68">
        <f t="shared" si="17"/>
        <v>1.0464897257675805</v>
      </c>
      <c r="N52" s="68">
        <f t="shared" si="17"/>
        <v>1.0103538331626356</v>
      </c>
      <c r="P52" s="27" t="s">
        <v>348</v>
      </c>
    </row>
    <row r="53" spans="3:16" x14ac:dyDescent="0.2">
      <c r="C53" s="6" t="s">
        <v>295</v>
      </c>
      <c r="D53" s="7" t="s">
        <v>81</v>
      </c>
      <c r="E53" s="67">
        <f t="shared" ref="E53:N53" si="18">IFERROR(E18/(E17+E18+E19),0)</f>
        <v>0.73410404624277448</v>
      </c>
      <c r="F53" s="67">
        <f t="shared" si="18"/>
        <v>0.38137812312029151</v>
      </c>
      <c r="G53" s="67">
        <f t="shared" si="18"/>
        <v>0.51970266384119135</v>
      </c>
      <c r="H53" s="67">
        <f t="shared" si="18"/>
        <v>0.6343688609884961</v>
      </c>
      <c r="I53" s="67">
        <f t="shared" si="18"/>
        <v>0.63955172914744907</v>
      </c>
      <c r="J53" s="67">
        <f t="shared" si="18"/>
        <v>0.64465294146899643</v>
      </c>
      <c r="K53" s="67">
        <f t="shared" si="18"/>
        <v>0.69304800347048823</v>
      </c>
      <c r="L53" s="67">
        <f t="shared" si="18"/>
        <v>0.74654163973446297</v>
      </c>
      <c r="M53" s="67">
        <f t="shared" si="18"/>
        <v>0.80697567023872763</v>
      </c>
      <c r="N53" s="67">
        <f t="shared" si="18"/>
        <v>0.80751651477189534</v>
      </c>
    </row>
    <row r="54" spans="3:16" x14ac:dyDescent="0.2">
      <c r="C54" s="6" t="s">
        <v>296</v>
      </c>
      <c r="D54" s="7" t="s">
        <v>75</v>
      </c>
      <c r="E54" s="9">
        <f t="shared" ref="E54:N54" si="19">E17+E19</f>
        <v>13.8</v>
      </c>
      <c r="F54" s="9">
        <f t="shared" si="19"/>
        <v>53.599999999999994</v>
      </c>
      <c r="G54" s="9">
        <f t="shared" si="19"/>
        <v>35.950000000000003</v>
      </c>
      <c r="H54" s="9">
        <f t="shared" si="19"/>
        <v>24.5</v>
      </c>
      <c r="I54" s="9">
        <f t="shared" si="19"/>
        <v>25.049999999999997</v>
      </c>
      <c r="J54" s="9">
        <f t="shared" si="19"/>
        <v>25.6</v>
      </c>
      <c r="K54" s="9">
        <f t="shared" si="19"/>
        <v>21.43</v>
      </c>
      <c r="L54" s="9">
        <f t="shared" si="19"/>
        <v>17.03</v>
      </c>
      <c r="M54" s="9">
        <f t="shared" si="19"/>
        <v>12.379999999999999</v>
      </c>
      <c r="N54" s="9">
        <f t="shared" si="19"/>
        <v>12.7</v>
      </c>
      <c r="P54" s="27" t="s">
        <v>349</v>
      </c>
    </row>
    <row r="55" spans="3:16" x14ac:dyDescent="0.2">
      <c r="C55" s="6" t="s">
        <v>37</v>
      </c>
      <c r="D55" s="7" t="s">
        <v>81</v>
      </c>
      <c r="E55" s="67">
        <f>IFERROR((E17+E18+E19)/Model!E40,0)</f>
        <v>3.2588220519904565E-2</v>
      </c>
      <c r="F55" s="67">
        <f>IFERROR((F17+F18+F19)/Model!F40,0)</f>
        <v>5.2441392905202763E-2</v>
      </c>
      <c r="G55" s="67">
        <f>IFERROR((G17+G18+G19)/Model!G40,0)</f>
        <v>4.2331897699725229E-2</v>
      </c>
      <c r="H55" s="67">
        <f>IFERROR((H17+H18+H19)/Model!H40,0)</f>
        <v>3.6256508499109774E-2</v>
      </c>
      <c r="I55" s="67">
        <f>IFERROR((I17+I18+I19)/Model!I40,0)</f>
        <v>3.5962689102037176E-2</v>
      </c>
      <c r="J55" s="67">
        <f>IFERROR((J17+J18+J19)/Model!J40,0)</f>
        <v>3.5678112237553711E-2</v>
      </c>
      <c r="K55" s="67">
        <f>IFERROR((K17+K18+K19)/Model!K40,0)</f>
        <v>3.318673437456833E-2</v>
      </c>
      <c r="L55" s="67">
        <f>IFERROR((L17+L18+L19)/Model!L40,0)</f>
        <v>3.0808730251377349E-2</v>
      </c>
      <c r="M55" s="67">
        <f>IFERROR((M17+M18+M19)/Model!M40,0)</f>
        <v>2.8501478852758857E-2</v>
      </c>
      <c r="N55" s="67">
        <f>IFERROR((N17+N18+N19)/Model!N40,0)</f>
        <v>2.8482389622083413E-2</v>
      </c>
    </row>
    <row r="56" spans="3:16" x14ac:dyDescent="0.2">
      <c r="C56" s="6" t="s">
        <v>350</v>
      </c>
      <c r="D56" s="7" t="s">
        <v>81</v>
      </c>
      <c r="E56" s="67">
        <f>IFERROR(-E38/Model!E40,0)</f>
        <v>3.2588220519904565E-2</v>
      </c>
      <c r="F56" s="67">
        <f>IFERROR(-F38/Model!F40,0)</f>
        <v>3.4411185844288809E-2</v>
      </c>
      <c r="G56" s="67">
        <f>IFERROR(-G38/Model!G40,0)</f>
        <v>3.0544014150609155E-2</v>
      </c>
      <c r="H56" s="67">
        <f>IFERROR(-H38/Model!H40,0)</f>
        <v>2.8011165344671369E-2</v>
      </c>
      <c r="I56" s="67">
        <f>IFERROR(-I38/Model!I40,0)</f>
        <v>2.6495115640162003E-2</v>
      </c>
      <c r="J56" s="67">
        <f>IFERROR(-J38/Model!J40,0)</f>
        <v>2.5935064242572643E-2</v>
      </c>
      <c r="K56" s="67">
        <f>IFERROR(-K38/Model!K40,0)</f>
        <v>2.6014319563478619E-2</v>
      </c>
      <c r="L56" s="67">
        <f>IFERROR(-L38/Model!L40,0)</f>
        <v>2.6493363130063056E-2</v>
      </c>
      <c r="M56" s="67">
        <f>IFERROR(-M38/Model!M40,0)</f>
        <v>2.72353164593695E-2</v>
      </c>
      <c r="N56" s="67">
        <f>IFERROR(-N38/Model!N40,0)</f>
        <v>2.8190509786979383E-2</v>
      </c>
      <c r="P56" s="27" t="s">
        <v>351</v>
      </c>
    </row>
  </sheetData>
  <pageMargins left="0.7" right="0.7" top="0.75" bottom="0.75" header="0.3" footer="0.3"/>
  <ignoredErrors>
    <ignoredError sqref="E51:N51"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ADBB4-D713-9A40-BB66-CA8D8221BCB4}">
  <dimension ref="B2:P43"/>
  <sheetViews>
    <sheetView showGridLines="0" workbookViewId="0">
      <selection activeCell="J24" sqref="J24"/>
    </sheetView>
  </sheetViews>
  <sheetFormatPr baseColWidth="10" defaultRowHeight="16" x14ac:dyDescent="0.2"/>
  <cols>
    <col min="1" max="2" width="2.83203125" customWidth="1"/>
    <col min="3" max="3" width="58.6640625" customWidth="1"/>
  </cols>
  <sheetData>
    <row r="2" spans="2:16" ht="20" x14ac:dyDescent="0.2">
      <c r="B2" s="45" t="s">
        <v>352</v>
      </c>
    </row>
    <row r="3" spans="2:16" x14ac:dyDescent="0.2">
      <c r="C3" s="15"/>
    </row>
    <row r="5" spans="2:16" x14ac:dyDescent="0.2">
      <c r="C5" s="17" t="s">
        <v>280</v>
      </c>
      <c r="D5" s="18" t="s">
        <v>59</v>
      </c>
      <c r="E5" s="19" t="s">
        <v>63</v>
      </c>
      <c r="F5" s="19" t="s">
        <v>132</v>
      </c>
      <c r="G5" s="19" t="s">
        <v>133</v>
      </c>
      <c r="H5" s="19" t="s">
        <v>134</v>
      </c>
      <c r="I5" s="19" t="s">
        <v>135</v>
      </c>
      <c r="J5" s="19" t="s">
        <v>136</v>
      </c>
      <c r="K5" s="19" t="s">
        <v>298</v>
      </c>
      <c r="L5" s="19" t="s">
        <v>299</v>
      </c>
      <c r="M5" s="19" t="s">
        <v>300</v>
      </c>
      <c r="N5" s="19" t="s">
        <v>301</v>
      </c>
      <c r="P5" s="17" t="s">
        <v>281</v>
      </c>
    </row>
    <row r="6" spans="2:16" x14ac:dyDescent="0.2">
      <c r="C6" s="16" t="s">
        <v>353</v>
      </c>
      <c r="D6" s="16"/>
      <c r="E6" s="16"/>
      <c r="F6" s="16"/>
      <c r="G6" s="16"/>
      <c r="H6" s="16"/>
      <c r="I6" s="16"/>
      <c r="J6" s="16"/>
      <c r="K6" s="16"/>
      <c r="L6" s="16"/>
      <c r="M6" s="16"/>
      <c r="N6" s="16"/>
      <c r="O6" s="16"/>
      <c r="P6" s="16"/>
    </row>
    <row r="7" spans="2:16" x14ac:dyDescent="0.2">
      <c r="C7" s="6" t="s">
        <v>354</v>
      </c>
      <c r="E7" s="100">
        <v>5.6000000000000001E-2</v>
      </c>
      <c r="P7" s="27" t="s">
        <v>452</v>
      </c>
    </row>
    <row r="8" spans="2:16" x14ac:dyDescent="0.2">
      <c r="C8" s="6" t="s">
        <v>355</v>
      </c>
      <c r="E8" s="100">
        <v>3.5000000000000003E-2</v>
      </c>
      <c r="P8" s="27" t="s">
        <v>356</v>
      </c>
    </row>
    <row r="9" spans="2:16" x14ac:dyDescent="0.2">
      <c r="C9" s="6" t="s">
        <v>357</v>
      </c>
      <c r="E9" s="96">
        <v>0.53800000000000003</v>
      </c>
      <c r="P9" s="27" t="s">
        <v>358</v>
      </c>
    </row>
    <row r="10" spans="2:16" x14ac:dyDescent="0.2">
      <c r="C10" s="6" t="s">
        <v>359</v>
      </c>
      <c r="E10" s="101">
        <v>60</v>
      </c>
      <c r="P10" s="27" t="s">
        <v>360</v>
      </c>
    </row>
    <row r="11" spans="2:16" x14ac:dyDescent="0.2">
      <c r="C11" s="6" t="s">
        <v>361</v>
      </c>
      <c r="E11" s="102">
        <v>3</v>
      </c>
      <c r="P11" s="27" t="s">
        <v>451</v>
      </c>
    </row>
    <row r="13" spans="2:16" x14ac:dyDescent="0.2">
      <c r="C13" s="16" t="s">
        <v>362</v>
      </c>
      <c r="D13" s="16"/>
      <c r="E13" s="16"/>
      <c r="F13" s="16"/>
      <c r="G13" s="16"/>
      <c r="H13" s="16"/>
      <c r="I13" s="16"/>
      <c r="J13" s="16"/>
      <c r="K13" s="16"/>
      <c r="L13" s="16"/>
      <c r="M13" s="16"/>
      <c r="N13" s="16"/>
      <c r="O13" s="16"/>
      <c r="P13" s="16"/>
    </row>
    <row r="14" spans="2:16" x14ac:dyDescent="0.2">
      <c r="C14" s="6" t="s">
        <v>363</v>
      </c>
      <c r="D14" s="7" t="s">
        <v>75</v>
      </c>
      <c r="E14" s="40">
        <f>Historicals!G52</f>
        <v>257</v>
      </c>
      <c r="F14" s="9">
        <f t="shared" ref="F14:N14" si="0">E17</f>
        <v>213.5</v>
      </c>
      <c r="G14" s="9">
        <f t="shared" si="0"/>
        <v>226.20174644119979</v>
      </c>
      <c r="H14" s="9">
        <f t="shared" si="0"/>
        <v>207.06796946816758</v>
      </c>
      <c r="I14" s="9">
        <f t="shared" si="0"/>
        <v>181.463596911732</v>
      </c>
      <c r="J14" s="9">
        <f t="shared" si="0"/>
        <v>155.81387735865866</v>
      </c>
      <c r="K14" s="9">
        <f t="shared" si="0"/>
        <v>129.18268597364008</v>
      </c>
      <c r="L14" s="9">
        <f t="shared" si="0"/>
        <v>96.129509239408975</v>
      </c>
      <c r="M14" s="9">
        <f t="shared" si="0"/>
        <v>56.270701698440234</v>
      </c>
      <c r="N14" s="9">
        <f t="shared" si="0"/>
        <v>8.9506937027310869</v>
      </c>
    </row>
    <row r="15" spans="2:16" x14ac:dyDescent="0.2">
      <c r="C15" s="6" t="s">
        <v>364</v>
      </c>
      <c r="D15" s="7" t="s">
        <v>75</v>
      </c>
      <c r="E15" s="40">
        <v>0</v>
      </c>
      <c r="F15" s="40">
        <f>-Model!F65</f>
        <v>50.6</v>
      </c>
      <c r="G15" s="40">
        <f>-Model!G65</f>
        <v>0</v>
      </c>
      <c r="H15" s="40">
        <f>-Model!H65</f>
        <v>0</v>
      </c>
      <c r="I15" s="40">
        <f>-Model!I65</f>
        <v>0</v>
      </c>
      <c r="J15" s="40">
        <f>-Model!J65</f>
        <v>0</v>
      </c>
      <c r="K15" s="40">
        <f>-Model!K65</f>
        <v>0</v>
      </c>
      <c r="L15" s="40">
        <f>-Model!L65</f>
        <v>0</v>
      </c>
      <c r="M15" s="40">
        <f>-Model!M65</f>
        <v>0</v>
      </c>
      <c r="N15" s="40">
        <f>-Model!N65</f>
        <v>0</v>
      </c>
      <c r="P15" s="27" t="s">
        <v>365</v>
      </c>
    </row>
    <row r="16" spans="2:16" x14ac:dyDescent="0.2">
      <c r="C16" s="6" t="s">
        <v>366</v>
      </c>
      <c r="D16" s="7" t="s">
        <v>75</v>
      </c>
      <c r="E16" s="2">
        <f>Historicals!H52-'Debt &amp; Leases'!E14</f>
        <v>-43.5</v>
      </c>
      <c r="F16" s="9">
        <f>-MIN(MAX(0,F27-$E$10),F14+F15)</f>
        <v>-37.898253558800235</v>
      </c>
      <c r="G16" s="9">
        <f t="shared" ref="G16:N16" si="1">-MIN(MAX(0,G27-$E$10),G14+G15)</f>
        <v>-19.133776973032212</v>
      </c>
      <c r="H16" s="9">
        <f t="shared" si="1"/>
        <v>-25.604372556435592</v>
      </c>
      <c r="I16" s="9">
        <f t="shared" si="1"/>
        <v>-25.649719553073339</v>
      </c>
      <c r="J16" s="9">
        <f t="shared" si="1"/>
        <v>-26.631191385018582</v>
      </c>
      <c r="K16" s="9">
        <f t="shared" si="1"/>
        <v>-33.053176734231101</v>
      </c>
      <c r="L16" s="9">
        <f t="shared" si="1"/>
        <v>-39.858807540968741</v>
      </c>
      <c r="M16" s="9">
        <f t="shared" si="1"/>
        <v>-47.320007995709148</v>
      </c>
      <c r="N16" s="9">
        <f t="shared" si="1"/>
        <v>-8.9506937027310869</v>
      </c>
      <c r="P16" s="27" t="s">
        <v>367</v>
      </c>
    </row>
    <row r="17" spans="3:16" x14ac:dyDescent="0.2">
      <c r="C17" s="10" t="s">
        <v>368</v>
      </c>
      <c r="D17" s="7" t="s">
        <v>75</v>
      </c>
      <c r="E17" s="91">
        <f>SUM(E14:E16)</f>
        <v>213.5</v>
      </c>
      <c r="F17" s="91">
        <f t="shared" ref="F17:N17" si="2">F14+F15+F16</f>
        <v>226.20174644119979</v>
      </c>
      <c r="G17" s="91">
        <f t="shared" si="2"/>
        <v>207.06796946816758</v>
      </c>
      <c r="H17" s="91">
        <f t="shared" si="2"/>
        <v>181.463596911732</v>
      </c>
      <c r="I17" s="91">
        <f t="shared" si="2"/>
        <v>155.81387735865866</v>
      </c>
      <c r="J17" s="91">
        <f t="shared" si="2"/>
        <v>129.18268597364008</v>
      </c>
      <c r="K17" s="91">
        <f t="shared" si="2"/>
        <v>96.129509239408975</v>
      </c>
      <c r="L17" s="91">
        <f t="shared" si="2"/>
        <v>56.270701698440234</v>
      </c>
      <c r="M17" s="91">
        <f t="shared" si="2"/>
        <v>8.9506937027310869</v>
      </c>
      <c r="N17" s="91">
        <f t="shared" si="2"/>
        <v>0</v>
      </c>
    </row>
    <row r="19" spans="3:16" x14ac:dyDescent="0.2">
      <c r="C19" s="16" t="s">
        <v>369</v>
      </c>
      <c r="D19" s="16"/>
      <c r="E19" s="16"/>
      <c r="F19" s="16"/>
      <c r="G19" s="16"/>
      <c r="H19" s="16"/>
      <c r="I19" s="16"/>
      <c r="J19" s="16"/>
      <c r="K19" s="16"/>
      <c r="L19" s="16"/>
      <c r="M19" s="16"/>
      <c r="N19" s="16"/>
      <c r="O19" s="16"/>
      <c r="P19" s="16"/>
    </row>
    <row r="20" spans="3:16" x14ac:dyDescent="0.2">
      <c r="C20" s="6" t="s">
        <v>370</v>
      </c>
      <c r="D20" s="7" t="s">
        <v>75</v>
      </c>
      <c r="E20" s="40">
        <f>Historicals!G51</f>
        <v>119.1</v>
      </c>
      <c r="F20" s="9">
        <f t="shared" ref="F20:N20" si="3">E28</f>
        <v>93.9</v>
      </c>
      <c r="G20" s="9">
        <f t="shared" si="3"/>
        <v>60</v>
      </c>
      <c r="H20" s="9">
        <f t="shared" si="3"/>
        <v>60</v>
      </c>
      <c r="I20" s="9">
        <f t="shared" si="3"/>
        <v>60</v>
      </c>
      <c r="J20" s="9">
        <f t="shared" si="3"/>
        <v>60</v>
      </c>
      <c r="K20" s="9">
        <f t="shared" si="3"/>
        <v>60</v>
      </c>
      <c r="L20" s="9">
        <f t="shared" si="3"/>
        <v>60</v>
      </c>
      <c r="M20" s="9">
        <f t="shared" si="3"/>
        <v>60</v>
      </c>
      <c r="N20" s="9">
        <f t="shared" si="3"/>
        <v>60</v>
      </c>
    </row>
    <row r="21" spans="3:16" x14ac:dyDescent="0.2">
      <c r="C21" s="6" t="s">
        <v>371</v>
      </c>
      <c r="D21" s="7" t="s">
        <v>75</v>
      </c>
      <c r="E21" s="40">
        <f>Model!E79</f>
        <v>77.352625541619176</v>
      </c>
      <c r="F21" s="40">
        <f>Model!F79</f>
        <v>-8.9774218502783683</v>
      </c>
      <c r="G21" s="40">
        <f>Model!G79</f>
        <v>61.524680291158191</v>
      </c>
      <c r="H21" s="40">
        <f>Model!H79</f>
        <v>70.36231519230364</v>
      </c>
      <c r="I21" s="40">
        <f>Model!I79</f>
        <v>72.530921460412884</v>
      </c>
      <c r="J21" s="40">
        <f>Model!J79</f>
        <v>74.864666328514858</v>
      </c>
      <c r="K21" s="40">
        <f>Model!K79</f>
        <v>82.275773280205641</v>
      </c>
      <c r="L21" s="40">
        <f>Model!L79</f>
        <v>89.291795541966707</v>
      </c>
      <c r="M21" s="40">
        <f>Model!M79</f>
        <v>96.4378597861934</v>
      </c>
      <c r="N21" s="40">
        <f>Model!N79</f>
        <v>98.91125079926104</v>
      </c>
      <c r="P21" s="15" t="s">
        <v>372</v>
      </c>
    </row>
    <row r="22" spans="3:16" x14ac:dyDescent="0.2">
      <c r="C22" s="6" t="s">
        <v>373</v>
      </c>
      <c r="D22" s="7" t="s">
        <v>75</v>
      </c>
      <c r="E22" s="2">
        <v>-12.1</v>
      </c>
      <c r="F22" s="9">
        <f>-F14*$E$7</f>
        <v>-11.956</v>
      </c>
      <c r="G22" s="9">
        <f t="shared" ref="G22:N22" si="4">-G14*$E$7</f>
        <v>-12.667297800707189</v>
      </c>
      <c r="H22" s="9">
        <f t="shared" si="4"/>
        <v>-11.595806290217384</v>
      </c>
      <c r="I22" s="9">
        <f t="shared" si="4"/>
        <v>-10.161961427056992</v>
      </c>
      <c r="J22" s="9">
        <f t="shared" si="4"/>
        <v>-8.7255771320848847</v>
      </c>
      <c r="K22" s="9">
        <f t="shared" si="4"/>
        <v>-7.2342304145238447</v>
      </c>
      <c r="L22" s="9">
        <f t="shared" si="4"/>
        <v>-5.3832525174069028</v>
      </c>
      <c r="M22" s="9">
        <f t="shared" si="4"/>
        <v>-3.1511592951126532</v>
      </c>
      <c r="N22" s="9">
        <f t="shared" si="4"/>
        <v>-0.50123884735294089</v>
      </c>
      <c r="P22" s="27" t="s">
        <v>374</v>
      </c>
    </row>
    <row r="23" spans="3:16" x14ac:dyDescent="0.2">
      <c r="C23" s="6" t="s">
        <v>375</v>
      </c>
      <c r="D23" s="7" t="s">
        <v>75</v>
      </c>
      <c r="E23" s="2">
        <v>4</v>
      </c>
      <c r="F23" s="9">
        <f>F20*$E$8</f>
        <v>3.2865000000000006</v>
      </c>
      <c r="G23" s="9">
        <f t="shared" ref="G23:N23" si="5">G20*$E$8</f>
        <v>2.1</v>
      </c>
      <c r="H23" s="9">
        <f t="shared" si="5"/>
        <v>2.1</v>
      </c>
      <c r="I23" s="9">
        <f t="shared" si="5"/>
        <v>2.1</v>
      </c>
      <c r="J23" s="9">
        <f t="shared" si="5"/>
        <v>2.1</v>
      </c>
      <c r="K23" s="9">
        <f t="shared" si="5"/>
        <v>2.1</v>
      </c>
      <c r="L23" s="9">
        <f t="shared" si="5"/>
        <v>2.1</v>
      </c>
      <c r="M23" s="9">
        <f t="shared" si="5"/>
        <v>2.1</v>
      </c>
      <c r="N23" s="9">
        <f t="shared" si="5"/>
        <v>2.1</v>
      </c>
    </row>
    <row r="24" spans="3:16" x14ac:dyDescent="0.2">
      <c r="C24" s="6" t="s">
        <v>376</v>
      </c>
      <c r="D24" s="7" t="s">
        <v>75</v>
      </c>
      <c r="E24" s="9">
        <f>-(E22+E23)*Historicals!$H$65</f>
        <v>2.429076396807297</v>
      </c>
      <c r="F24" s="9">
        <f>-(F22+F23)*Historicals!$H$65</f>
        <v>2.5998614595210938</v>
      </c>
      <c r="G24" s="9">
        <f>-(G22+G23)*Historicals!$H$65</f>
        <v>3.1689844031767276</v>
      </c>
      <c r="H24" s="9">
        <f>-(H22+H23)*Historicals!$H$65</f>
        <v>2.8476591269409024</v>
      </c>
      <c r="I24" s="9">
        <f>-(I22+I23)*Historicals!$H$65</f>
        <v>2.4176691622759274</v>
      </c>
      <c r="J24" s="9">
        <f>-(J22+J23)*Historicals!$H$65</f>
        <v>1.9869176576263674</v>
      </c>
      <c r="K24" s="9">
        <f>-(K22+K23)*Historicals!$H$65</f>
        <v>1.5396836932950637</v>
      </c>
      <c r="L24" s="9">
        <f>-(L22+L23)*Historicals!$H$65</f>
        <v>0.9846013820729933</v>
      </c>
      <c r="M24" s="9">
        <f>-(M22+M23)*Historicals!$H$65</f>
        <v>0.31522793000527677</v>
      </c>
      <c r="N24" s="9">
        <f>-(N22+N23)*Historicals!$H$65</f>
        <v>-0.47944604691696285</v>
      </c>
      <c r="P24" s="27" t="s">
        <v>377</v>
      </c>
    </row>
    <row r="25" spans="3:16" x14ac:dyDescent="0.2">
      <c r="C25" s="6" t="s">
        <v>378</v>
      </c>
      <c r="D25" s="7" t="s">
        <v>75</v>
      </c>
      <c r="E25" s="9">
        <f>(Model!E55+'Debt &amp; Leases'!E22+'Debt &amp; Leases'!E23)*(1-Historicals!$H$65)</f>
        <v>67.981701938426468</v>
      </c>
      <c r="F25" s="9">
        <f>(Model!F55+F22+F23)*(1-Historicals!$H$65)</f>
        <v>58.651832807513927</v>
      </c>
      <c r="G25" s="9">
        <f>(Model!G55+G22+G23)*(1-Historicals!$H$65)</f>
        <v>65.041988699991663</v>
      </c>
      <c r="H25" s="9">
        <f>(Model!H55+H22+H23)*(1-Historicals!$H$65)</f>
        <v>70.836051064296569</v>
      </c>
      <c r="I25" s="9">
        <f>(Model!I55+I22+I23)*(1-Historicals!$H$65)</f>
        <v>76.648530934123542</v>
      </c>
      <c r="J25" s="9">
        <f>(Model!J55+J22+J23)*(1-Historicals!$H$65)</f>
        <v>81.031255518657545</v>
      </c>
      <c r="K25" s="9">
        <f>(Model!K55+K22+K23)*(1-Historicals!$H$65)</f>
        <v>84.810501532984702</v>
      </c>
      <c r="L25" s="9">
        <f>(Model!L55+L22+L23)*(1-Historicals!$H$65)</f>
        <v>87.610291571866242</v>
      </c>
      <c r="M25" s="9">
        <f>(Model!M55+M22+M23)*(1-Historicals!$H$65)</f>
        <v>89.929220121518355</v>
      </c>
      <c r="N25" s="9">
        <f>(Model!N55+N22+N23)*(1-Historicals!$H$65)</f>
        <v>91.989334527542795</v>
      </c>
    </row>
    <row r="26" spans="3:16" x14ac:dyDescent="0.2">
      <c r="C26" s="6" t="s">
        <v>379</v>
      </c>
      <c r="D26" s="7" t="s">
        <v>75</v>
      </c>
      <c r="E26" s="2">
        <v>-31.1</v>
      </c>
      <c r="F26" s="9">
        <f>-F25*$E$9</f>
        <v>-31.554686050442495</v>
      </c>
      <c r="G26" s="9">
        <f t="shared" ref="G26:N26" si="6">-G25*$E$9</f>
        <v>-34.992589920595513</v>
      </c>
      <c r="H26" s="9">
        <f t="shared" si="6"/>
        <v>-38.109795472591557</v>
      </c>
      <c r="I26" s="9">
        <f t="shared" si="6"/>
        <v>-41.236909642558466</v>
      </c>
      <c r="J26" s="9">
        <f t="shared" si="6"/>
        <v>-43.594815469037762</v>
      </c>
      <c r="K26" s="9">
        <f t="shared" si="6"/>
        <v>-45.628049824745773</v>
      </c>
      <c r="L26" s="9">
        <f t="shared" si="6"/>
        <v>-47.134336865664039</v>
      </c>
      <c r="M26" s="9">
        <f t="shared" si="6"/>
        <v>-48.381920425376876</v>
      </c>
      <c r="N26" s="9">
        <f t="shared" si="6"/>
        <v>-49.490261975818029</v>
      </c>
    </row>
    <row r="27" spans="3:16" x14ac:dyDescent="0.2">
      <c r="C27" s="10" t="s">
        <v>380</v>
      </c>
      <c r="D27" s="7" t="s">
        <v>75</v>
      </c>
      <c r="E27" s="91">
        <f>E20+E21+E22+E23+E24+E26+E15</f>
        <v>159.68170193842647</v>
      </c>
      <c r="F27" s="91">
        <f t="shared" ref="F27:N27" si="7">F20+F21+F22+F23+F24+F26+F15</f>
        <v>97.898253558800235</v>
      </c>
      <c r="G27" s="91">
        <f t="shared" si="7"/>
        <v>79.133776973032212</v>
      </c>
      <c r="H27" s="91">
        <f t="shared" si="7"/>
        <v>85.604372556435592</v>
      </c>
      <c r="I27" s="91">
        <f t="shared" si="7"/>
        <v>85.649719553073339</v>
      </c>
      <c r="J27" s="91">
        <f t="shared" si="7"/>
        <v>86.631191385018582</v>
      </c>
      <c r="K27" s="91">
        <f t="shared" si="7"/>
        <v>93.053176734231101</v>
      </c>
      <c r="L27" s="91">
        <f t="shared" si="7"/>
        <v>99.858807540968741</v>
      </c>
      <c r="M27" s="91">
        <f t="shared" si="7"/>
        <v>107.32000799570915</v>
      </c>
      <c r="N27" s="91">
        <f t="shared" si="7"/>
        <v>110.54030392917311</v>
      </c>
      <c r="P27" s="27" t="s">
        <v>381</v>
      </c>
    </row>
    <row r="28" spans="3:16" x14ac:dyDescent="0.2">
      <c r="C28" s="10" t="s">
        <v>382</v>
      </c>
      <c r="D28" s="7" t="s">
        <v>75</v>
      </c>
      <c r="E28" s="99">
        <f>Historicals!H51</f>
        <v>93.9</v>
      </c>
      <c r="F28" s="11">
        <f t="shared" ref="F28:N28" si="8">F27+F16</f>
        <v>60</v>
      </c>
      <c r="G28" s="11">
        <f t="shared" si="8"/>
        <v>60</v>
      </c>
      <c r="H28" s="11">
        <f t="shared" si="8"/>
        <v>60</v>
      </c>
      <c r="I28" s="11">
        <f t="shared" si="8"/>
        <v>60</v>
      </c>
      <c r="J28" s="11">
        <f t="shared" si="8"/>
        <v>60</v>
      </c>
      <c r="K28" s="11">
        <f t="shared" si="8"/>
        <v>60</v>
      </c>
      <c r="L28" s="11">
        <f t="shared" si="8"/>
        <v>60</v>
      </c>
      <c r="M28" s="11">
        <f t="shared" si="8"/>
        <v>60</v>
      </c>
      <c r="N28" s="11">
        <f t="shared" si="8"/>
        <v>101.58961022644202</v>
      </c>
    </row>
    <row r="30" spans="3:16" x14ac:dyDescent="0.2">
      <c r="C30" s="16" t="s">
        <v>383</v>
      </c>
      <c r="D30" s="16"/>
      <c r="E30" s="16"/>
      <c r="F30" s="16"/>
      <c r="G30" s="16"/>
      <c r="H30" s="16"/>
      <c r="I30" s="16"/>
      <c r="J30" s="16"/>
      <c r="K30" s="16"/>
      <c r="L30" s="16"/>
      <c r="M30" s="16"/>
      <c r="N30" s="16"/>
      <c r="O30" s="16"/>
      <c r="P30" s="16"/>
    </row>
    <row r="31" spans="3:16" x14ac:dyDescent="0.2">
      <c r="C31" s="10" t="s">
        <v>384</v>
      </c>
      <c r="D31" s="7" t="s">
        <v>75</v>
      </c>
      <c r="E31" s="11">
        <f t="shared" ref="E31" si="9">E17-E28</f>
        <v>119.6</v>
      </c>
      <c r="F31" s="11">
        <f t="shared" ref="F31:N31" si="10">F17-F28</f>
        <v>166.20174644119979</v>
      </c>
      <c r="G31" s="11">
        <f t="shared" si="10"/>
        <v>147.06796946816758</v>
      </c>
      <c r="H31" s="11">
        <f t="shared" si="10"/>
        <v>121.463596911732</v>
      </c>
      <c r="I31" s="11">
        <f t="shared" si="10"/>
        <v>95.813877358658658</v>
      </c>
      <c r="J31" s="11">
        <f t="shared" si="10"/>
        <v>69.182685973640076</v>
      </c>
      <c r="K31" s="11">
        <f t="shared" si="10"/>
        <v>36.129509239408975</v>
      </c>
      <c r="L31" s="11">
        <f t="shared" si="10"/>
        <v>-3.7292983015597656</v>
      </c>
      <c r="M31" s="11">
        <f t="shared" si="10"/>
        <v>-51.049306297268913</v>
      </c>
      <c r="N31" s="11">
        <f t="shared" si="10"/>
        <v>-101.58961022644202</v>
      </c>
    </row>
    <row r="32" spans="3:16" x14ac:dyDescent="0.2">
      <c r="C32" s="6" t="s">
        <v>385</v>
      </c>
      <c r="D32" s="7" t="s">
        <v>75</v>
      </c>
      <c r="E32" s="40">
        <f>Model!E48</f>
        <v>160.80090000000001</v>
      </c>
      <c r="F32" s="40">
        <f>Model!F48</f>
        <v>153.18369824397257</v>
      </c>
      <c r="G32" s="40">
        <f>Model!G48</f>
        <v>161.555173028345</v>
      </c>
      <c r="H32" s="40">
        <f>Model!H48</f>
        <v>166.72569732525102</v>
      </c>
      <c r="I32" s="40">
        <f>Model!I48</f>
        <v>173.24040251199361</v>
      </c>
      <c r="J32" s="40">
        <f>Model!J48</f>
        <v>179.45671162329904</v>
      </c>
      <c r="K32" s="40">
        <f>Model!K48</f>
        <v>185.95746134333103</v>
      </c>
      <c r="L32" s="40">
        <f>Model!L48</f>
        <v>191.40587224620418</v>
      </c>
      <c r="M32" s="40">
        <f>Model!M48</f>
        <v>196.25487761433786</v>
      </c>
      <c r="N32" s="40">
        <f>Model!N48</f>
        <v>200.83662989732898</v>
      </c>
    </row>
    <row r="33" spans="3:16" x14ac:dyDescent="0.2">
      <c r="C33" s="10" t="s">
        <v>386</v>
      </c>
      <c r="D33" s="7" t="s">
        <v>106</v>
      </c>
      <c r="E33" s="103">
        <f t="shared" ref="E33" si="11">IFERROR(E31/E32,0)</f>
        <v>0.74377693159677583</v>
      </c>
      <c r="F33" s="103">
        <f t="shared" ref="F33" si="12">IFERROR(F31/F32,0)</f>
        <v>1.0849832478681487</v>
      </c>
      <c r="G33" s="103">
        <f t="shared" ref="G33" si="13">IFERROR(G31/G32,0)</f>
        <v>0.91032658819513235</v>
      </c>
      <c r="H33" s="103">
        <f t="shared" ref="H33" si="14">IFERROR(H31/H32,0)</f>
        <v>0.72852355012064496</v>
      </c>
      <c r="I33" s="103">
        <f t="shared" ref="I33" si="15">IFERROR(I31/I32,0)</f>
        <v>0.55306889137495141</v>
      </c>
      <c r="J33" s="103">
        <f t="shared" ref="J33" si="16">IFERROR(J31/J32,0)</f>
        <v>0.38551183373326686</v>
      </c>
      <c r="K33" s="103">
        <f t="shared" ref="K33" si="17">IFERROR(K31/K32,0)</f>
        <v>0.19428910772611321</v>
      </c>
      <c r="L33" s="103">
        <f t="shared" ref="L33" si="18">IFERROR(L31/L32,0)</f>
        <v>-1.9483719374935333E-2</v>
      </c>
      <c r="M33" s="103">
        <f t="shared" ref="M33" si="19">IFERROR(M31/M32,0)</f>
        <v>-0.26011738876414753</v>
      </c>
      <c r="N33" s="103">
        <f t="shared" ref="N33" si="20">IFERROR(N31/N32,0)</f>
        <v>-0.50583207992673607</v>
      </c>
      <c r="P33" s="27" t="s">
        <v>453</v>
      </c>
    </row>
    <row r="34" spans="3:16" x14ac:dyDescent="0.2">
      <c r="C34" s="6" t="s">
        <v>387</v>
      </c>
      <c r="D34" s="7" t="s">
        <v>106</v>
      </c>
      <c r="E34" s="68">
        <f>$E$11-E33</f>
        <v>2.2562230684032243</v>
      </c>
      <c r="F34" s="68">
        <f t="shared" ref="F34:N34" si="21">$E$11-F33</f>
        <v>1.9150167521318513</v>
      </c>
      <c r="G34" s="68">
        <f t="shared" si="21"/>
        <v>2.0896734118048679</v>
      </c>
      <c r="H34" s="68">
        <f t="shared" si="21"/>
        <v>2.2714764498793549</v>
      </c>
      <c r="I34" s="68">
        <f t="shared" si="21"/>
        <v>2.4469311086250487</v>
      </c>
      <c r="J34" s="68">
        <f t="shared" si="21"/>
        <v>2.614488166266733</v>
      </c>
      <c r="K34" s="68">
        <f t="shared" si="21"/>
        <v>2.8057108922738867</v>
      </c>
      <c r="L34" s="68">
        <f t="shared" si="21"/>
        <v>3.0194837193749353</v>
      </c>
      <c r="M34" s="68">
        <f t="shared" si="21"/>
        <v>3.2601173887641477</v>
      </c>
      <c r="N34" s="68">
        <f t="shared" si="21"/>
        <v>3.5058320799267362</v>
      </c>
    </row>
    <row r="35" spans="3:16" x14ac:dyDescent="0.2">
      <c r="C35" s="10" t="s">
        <v>388</v>
      </c>
      <c r="D35" s="7" t="s">
        <v>75</v>
      </c>
      <c r="E35" s="104">
        <f>E32*$E$11-E31</f>
        <v>362.80270000000007</v>
      </c>
      <c r="F35" s="104">
        <f t="shared" ref="F35:N35" si="22">F32*$E$11-F31</f>
        <v>293.3493482907179</v>
      </c>
      <c r="G35" s="104">
        <f t="shared" si="22"/>
        <v>337.59754961686741</v>
      </c>
      <c r="H35" s="104">
        <f t="shared" si="22"/>
        <v>378.71349506402106</v>
      </c>
      <c r="I35" s="104">
        <f t="shared" si="22"/>
        <v>423.90733017732219</v>
      </c>
      <c r="J35" s="104">
        <f t="shared" si="22"/>
        <v>469.18744889625702</v>
      </c>
      <c r="K35" s="104">
        <f t="shared" si="22"/>
        <v>521.7428747905841</v>
      </c>
      <c r="L35" s="104">
        <f t="shared" si="22"/>
        <v>577.94691504017237</v>
      </c>
      <c r="M35" s="104">
        <f t="shared" si="22"/>
        <v>639.81393914028251</v>
      </c>
      <c r="N35" s="104">
        <f t="shared" si="22"/>
        <v>704.09949991842893</v>
      </c>
      <c r="P35" s="27" t="s">
        <v>389</v>
      </c>
    </row>
    <row r="36" spans="3:16" x14ac:dyDescent="0.2">
      <c r="C36" s="6" t="s">
        <v>390</v>
      </c>
      <c r="D36" s="7" t="s">
        <v>106</v>
      </c>
      <c r="E36" s="68">
        <f t="shared" ref="E36" si="23">IFERROR(-E32/(E22+E23),0)</f>
        <v>19.851962962962965</v>
      </c>
      <c r="F36" s="68">
        <f t="shared" ref="F36:N36" si="24">IFERROR(-F32/(F22+F23),0)</f>
        <v>17.669265614392131</v>
      </c>
      <c r="G36" s="68">
        <f t="shared" si="24"/>
        <v>15.288219947537897</v>
      </c>
      <c r="H36" s="68">
        <f t="shared" si="24"/>
        <v>17.557824183609608</v>
      </c>
      <c r="I36" s="68">
        <f t="shared" si="24"/>
        <v>21.488617141056547</v>
      </c>
      <c r="J36" s="68">
        <f t="shared" si="24"/>
        <v>27.085445999000694</v>
      </c>
      <c r="K36" s="68">
        <f t="shared" si="24"/>
        <v>36.219149965940311</v>
      </c>
      <c r="L36" s="68">
        <f t="shared" si="24"/>
        <v>58.297639682425533</v>
      </c>
      <c r="M36" s="68">
        <f t="shared" si="24"/>
        <v>186.70326992951638</v>
      </c>
      <c r="N36" s="68">
        <f t="shared" si="24"/>
        <v>-125.62015881159296</v>
      </c>
    </row>
    <row r="38" spans="3:16" x14ac:dyDescent="0.2">
      <c r="C38" s="16" t="s">
        <v>391</v>
      </c>
      <c r="D38" s="16"/>
      <c r="E38" s="16"/>
      <c r="F38" s="16"/>
      <c r="G38" s="16"/>
      <c r="H38" s="16"/>
      <c r="I38" s="16"/>
      <c r="J38" s="16"/>
      <c r="K38" s="16"/>
      <c r="L38" s="16"/>
      <c r="M38" s="16"/>
      <c r="N38" s="16"/>
      <c r="O38" s="16"/>
      <c r="P38" s="16"/>
    </row>
    <row r="39" spans="3:16" x14ac:dyDescent="0.2">
      <c r="C39" s="6" t="s">
        <v>392</v>
      </c>
      <c r="D39" s="7" t="s">
        <v>75</v>
      </c>
      <c r="E39" s="40">
        <f>Historicals!G54</f>
        <v>633.6</v>
      </c>
      <c r="F39" s="9">
        <f t="shared" ref="F39:N39" si="25">E42</f>
        <v>630.5</v>
      </c>
      <c r="G39" s="9">
        <f t="shared" si="25"/>
        <v>654.09928798400017</v>
      </c>
      <c r="H39" s="9">
        <f t="shared" si="25"/>
        <v>700.00212492771072</v>
      </c>
      <c r="I39" s="9">
        <f t="shared" si="25"/>
        <v>731.6701025550409</v>
      </c>
      <c r="J39" s="9">
        <f t="shared" si="25"/>
        <v>765.05208788942628</v>
      </c>
      <c r="K39" s="9">
        <f t="shared" si="25"/>
        <v>799.39927974957357</v>
      </c>
      <c r="L39" s="9">
        <f t="shared" si="25"/>
        <v>832.84765786245634</v>
      </c>
      <c r="M39" s="9">
        <f t="shared" si="25"/>
        <v>863.4011183905277</v>
      </c>
      <c r="N39" s="9">
        <f t="shared" si="25"/>
        <v>890.88075291723919</v>
      </c>
    </row>
    <row r="40" spans="3:16" x14ac:dyDescent="0.2">
      <c r="C40" s="6" t="s">
        <v>393</v>
      </c>
      <c r="D40" s="7" t="s">
        <v>75</v>
      </c>
      <c r="E40" s="9">
        <f>E42-E39-E41</f>
        <v>54.799999999999976</v>
      </c>
      <c r="F40" s="9">
        <f t="shared" ref="F40:N40" si="26">F42-F39-F41</f>
        <v>83.666454953506303</v>
      </c>
      <c r="G40" s="9">
        <f t="shared" si="26"/>
        <v>110.18534770233776</v>
      </c>
      <c r="H40" s="9">
        <f t="shared" si="26"/>
        <v>98.858618290195949</v>
      </c>
      <c r="I40" s="9">
        <f t="shared" si="26"/>
        <v>103.6381564506388</v>
      </c>
      <c r="J40" s="9">
        <f t="shared" si="26"/>
        <v>107.75753015911685</v>
      </c>
      <c r="K40" s="9">
        <f t="shared" si="26"/>
        <v>109.93034383887203</v>
      </c>
      <c r="L40" s="9">
        <f t="shared" si="26"/>
        <v>109.84120795838309</v>
      </c>
      <c r="M40" s="9">
        <f t="shared" si="26"/>
        <v>109.29088844250555</v>
      </c>
      <c r="N40" s="9">
        <f t="shared" si="26"/>
        <v>110.42791228098712</v>
      </c>
      <c r="P40" s="27" t="s">
        <v>394</v>
      </c>
    </row>
    <row r="41" spans="3:16" x14ac:dyDescent="0.2">
      <c r="C41" s="6" t="s">
        <v>395</v>
      </c>
      <c r="D41" s="7" t="s">
        <v>75</v>
      </c>
      <c r="E41" s="40">
        <f>-Historicals!H59</f>
        <v>-57.9</v>
      </c>
      <c r="F41" s="9">
        <f>E41*(1+Model!F41)</f>
        <v>-60.067166969506125</v>
      </c>
      <c r="G41" s="9">
        <f>F41*(1+Model!G41)</f>
        <v>-64.282510758627211</v>
      </c>
      <c r="H41" s="9">
        <f>G41*(1+Model!H41)</f>
        <v>-67.190640662865775</v>
      </c>
      <c r="I41" s="9">
        <f>H41*(1+Model!I41)</f>
        <v>-70.256171116253427</v>
      </c>
      <c r="J41" s="9">
        <f>I41*(1+Model!J41)</f>
        <v>-73.410338298969563</v>
      </c>
      <c r="K41" s="9">
        <f>J41*(1+Model!K41)</f>
        <v>-76.481965725989255</v>
      </c>
      <c r="L41" s="9">
        <f>K41*(1+Model!L41)</f>
        <v>-79.28774743031174</v>
      </c>
      <c r="M41" s="9">
        <f>L41*(1+Model!M41)</f>
        <v>-81.811253915794055</v>
      </c>
      <c r="N41" s="9">
        <f>M41*(1+Model!N41)</f>
        <v>-84.218146012459769</v>
      </c>
    </row>
    <row r="42" spans="3:16" x14ac:dyDescent="0.2">
      <c r="C42" s="10" t="s">
        <v>396</v>
      </c>
      <c r="D42" s="7" t="s">
        <v>75</v>
      </c>
      <c r="E42" s="116">
        <f>Historicals!H54</f>
        <v>630.5</v>
      </c>
      <c r="F42" s="91">
        <f>F39*(1+Model!F41)</f>
        <v>654.09928798400017</v>
      </c>
      <c r="G42" s="91">
        <f>G39*(1+Model!G41)</f>
        <v>700.00212492771072</v>
      </c>
      <c r="H42" s="91">
        <f>H39*(1+Model!H41)</f>
        <v>731.6701025550409</v>
      </c>
      <c r="I42" s="91">
        <f>I39*(1+Model!I41)</f>
        <v>765.05208788942628</v>
      </c>
      <c r="J42" s="91">
        <f>J39*(1+Model!J41)</f>
        <v>799.39927974957357</v>
      </c>
      <c r="K42" s="91">
        <f>K39*(1+Model!K41)</f>
        <v>832.84765786245634</v>
      </c>
      <c r="L42" s="91">
        <f>L39*(1+Model!L41)</f>
        <v>863.4011183905277</v>
      </c>
      <c r="M42" s="91">
        <f>M39*(1+Model!M41)</f>
        <v>890.88075291723919</v>
      </c>
      <c r="N42" s="91">
        <f>N39*(1+Model!N41)</f>
        <v>917.09051918576654</v>
      </c>
    </row>
    <row r="43" spans="3:16" x14ac:dyDescent="0.2">
      <c r="C43" s="6" t="s">
        <v>397</v>
      </c>
      <c r="D43" s="7" t="s">
        <v>106</v>
      </c>
      <c r="E43" s="68">
        <f>IFERROR((E31+E42)/Model!E45,0)</f>
        <v>3.0678823677131661</v>
      </c>
      <c r="F43" s="68">
        <f>IFERROR((F31+F42)/Model!F45,0)</f>
        <v>3.3956097899492517</v>
      </c>
      <c r="G43" s="68">
        <f>IFERROR((G31+G42)/Model!G45,0)</f>
        <v>3.2955349941993117</v>
      </c>
      <c r="H43" s="68">
        <f>IFERROR((H31+H42)/Model!H45,0)</f>
        <v>3.1898834135604921</v>
      </c>
      <c r="I43" s="68">
        <f>IFERROR((I31+I42)/Model!I45,0)</f>
        <v>3.0797324385573792</v>
      </c>
      <c r="J43" s="68">
        <f>IFERROR((J31+J42)/Model!J45,0)</f>
        <v>2.9794540273958838</v>
      </c>
      <c r="K43" s="68">
        <f>IFERROR((K31+K42)/Model!K45,0)</f>
        <v>2.8606834600884228</v>
      </c>
      <c r="L43" s="68">
        <f>IFERROR((L31+L42)/Model!L45,0)</f>
        <v>2.732358511375939</v>
      </c>
      <c r="M43" s="68">
        <f>IFERROR((M31+M42)/Model!M45,0)</f>
        <v>2.5879013163314943</v>
      </c>
      <c r="N43" s="68">
        <f>IFERROR((N31+N42)/Model!N45,0)</f>
        <v>2.4413574732727872</v>
      </c>
      <c r="P43" s="27" t="s">
        <v>398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B283-01DB-8C4C-9DA8-6741FC4B573C}">
  <dimension ref="B2:K50"/>
  <sheetViews>
    <sheetView showGridLines="0" topLeftCell="A19" workbookViewId="0">
      <selection activeCell="I53" sqref="I53"/>
    </sheetView>
  </sheetViews>
  <sheetFormatPr baseColWidth="10" defaultRowHeight="16" x14ac:dyDescent="0.2"/>
  <cols>
    <col min="1" max="2" width="2.83203125" customWidth="1"/>
    <col min="3" max="3" width="46.1640625" customWidth="1"/>
    <col min="5" max="5" width="31" customWidth="1"/>
  </cols>
  <sheetData>
    <row r="2" spans="2:11" ht="20" x14ac:dyDescent="0.2">
      <c r="B2" s="45" t="s">
        <v>399</v>
      </c>
    </row>
    <row r="3" spans="2:11" x14ac:dyDescent="0.2">
      <c r="C3" s="15" t="s">
        <v>400</v>
      </c>
    </row>
    <row r="5" spans="2:11" x14ac:dyDescent="0.2">
      <c r="C5" s="16" t="s">
        <v>401</v>
      </c>
      <c r="D5" s="16"/>
      <c r="E5" s="16"/>
      <c r="F5" s="16"/>
      <c r="G5" s="16"/>
      <c r="H5" s="16"/>
      <c r="I5" s="16"/>
      <c r="J5" s="16"/>
      <c r="K5" s="16"/>
    </row>
    <row r="6" spans="2:11" x14ac:dyDescent="0.2">
      <c r="C6" s="6" t="s">
        <v>402</v>
      </c>
      <c r="E6" s="100">
        <v>4.9000000000000002E-2</v>
      </c>
      <c r="K6" s="27" t="s">
        <v>565</v>
      </c>
    </row>
    <row r="7" spans="2:11" x14ac:dyDescent="0.2">
      <c r="C7" s="6" t="s">
        <v>403</v>
      </c>
      <c r="E7" s="100">
        <v>0.06</v>
      </c>
      <c r="K7" s="27" t="s">
        <v>564</v>
      </c>
    </row>
    <row r="8" spans="2:11" x14ac:dyDescent="0.2">
      <c r="C8" s="6" t="s">
        <v>404</v>
      </c>
      <c r="E8" s="100">
        <v>0.3</v>
      </c>
      <c r="K8" s="27" t="s">
        <v>405</v>
      </c>
    </row>
    <row r="10" spans="2:11" x14ac:dyDescent="0.2">
      <c r="C10" s="16" t="s">
        <v>406</v>
      </c>
      <c r="D10" s="16"/>
      <c r="E10" s="16"/>
      <c r="F10" s="16"/>
      <c r="G10" s="16"/>
      <c r="H10" s="16"/>
      <c r="I10" s="16"/>
      <c r="J10" s="16"/>
      <c r="K10" s="16"/>
    </row>
    <row r="11" spans="2:11" ht="28" x14ac:dyDescent="0.2">
      <c r="C11" s="17" t="s">
        <v>407</v>
      </c>
      <c r="E11" s="105" t="s">
        <v>408</v>
      </c>
      <c r="F11" s="105" t="s">
        <v>409</v>
      </c>
      <c r="G11" s="18" t="s">
        <v>410</v>
      </c>
      <c r="H11" s="105" t="s">
        <v>411</v>
      </c>
      <c r="K11" s="106"/>
    </row>
    <row r="12" spans="2:11" x14ac:dyDescent="0.2">
      <c r="C12" s="6" t="s">
        <v>412</v>
      </c>
      <c r="E12" s="107">
        <v>1.02</v>
      </c>
      <c r="F12" s="107">
        <v>0.39</v>
      </c>
      <c r="G12" s="23">
        <v>0.3</v>
      </c>
      <c r="H12" s="108">
        <f t="shared" ref="H12:H16" si="0">IFERROR(E12/(1+(1-G12)*F12),"")</f>
        <v>0.8012568735271014</v>
      </c>
      <c r="K12" s="15" t="s">
        <v>593</v>
      </c>
    </row>
    <row r="13" spans="2:11" x14ac:dyDescent="0.2">
      <c r="C13" s="6" t="s">
        <v>413</v>
      </c>
      <c r="E13" s="107">
        <v>0.91</v>
      </c>
      <c r="F13" s="107">
        <v>0.05</v>
      </c>
      <c r="G13" s="23">
        <v>0.3</v>
      </c>
      <c r="H13" s="108">
        <f t="shared" si="0"/>
        <v>0.87922705314009675</v>
      </c>
    </row>
    <row r="14" spans="2:11" x14ac:dyDescent="0.2">
      <c r="C14" s="6" t="s">
        <v>414</v>
      </c>
      <c r="E14" s="107">
        <v>0.5</v>
      </c>
      <c r="F14" s="107">
        <v>1.1599999999999999</v>
      </c>
      <c r="G14" s="23">
        <v>0.3</v>
      </c>
      <c r="H14" s="108">
        <f t="shared" si="0"/>
        <v>0.27593818984547464</v>
      </c>
    </row>
    <row r="15" spans="2:11" x14ac:dyDescent="0.2">
      <c r="C15" s="6" t="s">
        <v>415</v>
      </c>
      <c r="E15" s="107">
        <v>0.55000000000000004</v>
      </c>
      <c r="F15" s="107">
        <v>0.32</v>
      </c>
      <c r="G15" s="23">
        <v>0.21</v>
      </c>
      <c r="H15" s="108">
        <f t="shared" si="0"/>
        <v>0.43901660280970622</v>
      </c>
    </row>
    <row r="16" spans="2:11" x14ac:dyDescent="0.2">
      <c r="C16" s="6" t="s">
        <v>416</v>
      </c>
      <c r="E16" s="107">
        <v>0.08</v>
      </c>
      <c r="F16" s="107">
        <v>5.5E-2</v>
      </c>
      <c r="G16" s="23">
        <v>0.25</v>
      </c>
      <c r="H16" s="108">
        <f t="shared" si="0"/>
        <v>7.6830732292917162E-2</v>
      </c>
    </row>
    <row r="17" spans="3:11" x14ac:dyDescent="0.2">
      <c r="C17" s="6" t="s">
        <v>417</v>
      </c>
      <c r="H17" s="109">
        <f>IFERROR(MEDIAN(H12:H16),"n/a")</f>
        <v>0.43901660280970622</v>
      </c>
      <c r="K17" s="15"/>
    </row>
    <row r="18" spans="3:11" x14ac:dyDescent="0.2">
      <c r="C18" s="10" t="s">
        <v>418</v>
      </c>
      <c r="E18" s="107">
        <v>0.8</v>
      </c>
      <c r="K18" s="27" t="s">
        <v>596</v>
      </c>
    </row>
    <row r="20" spans="3:11" x14ac:dyDescent="0.2">
      <c r="C20" s="16" t="s">
        <v>419</v>
      </c>
      <c r="D20" s="16"/>
      <c r="E20" s="16"/>
      <c r="F20" s="16"/>
      <c r="G20" s="16"/>
      <c r="H20" s="16"/>
      <c r="I20" s="16"/>
      <c r="J20" s="16"/>
      <c r="K20" s="16"/>
    </row>
    <row r="21" spans="3:11" x14ac:dyDescent="0.2">
      <c r="C21" s="6" t="s">
        <v>420</v>
      </c>
      <c r="E21" s="110">
        <v>8.24</v>
      </c>
      <c r="K21" s="15" t="s">
        <v>421</v>
      </c>
    </row>
    <row r="22" spans="3:11" x14ac:dyDescent="0.2">
      <c r="C22" s="6" t="s">
        <v>207</v>
      </c>
      <c r="E22" s="93">
        <f>Historicals!H11/(Historicals!H16/100)</f>
        <v>118.07692307692307</v>
      </c>
      <c r="K22" s="27" t="s">
        <v>422</v>
      </c>
    </row>
    <row r="23" spans="3:11" x14ac:dyDescent="0.2">
      <c r="C23" s="10" t="s">
        <v>423</v>
      </c>
      <c r="E23" s="104">
        <f>E21*E22</f>
        <v>972.95384615384614</v>
      </c>
    </row>
    <row r="24" spans="3:11" x14ac:dyDescent="0.2">
      <c r="C24" s="6" t="s">
        <v>424</v>
      </c>
      <c r="E24" s="40">
        <f>Historicals!H53</f>
        <v>119.6</v>
      </c>
    </row>
    <row r="25" spans="3:11" x14ac:dyDescent="0.2">
      <c r="C25" s="6" t="s">
        <v>425</v>
      </c>
      <c r="E25" s="40">
        <f>Historicals!H54</f>
        <v>630.5</v>
      </c>
    </row>
    <row r="26" spans="3:11" x14ac:dyDescent="0.2">
      <c r="C26" s="10" t="s">
        <v>426</v>
      </c>
      <c r="E26" s="11">
        <f>E24</f>
        <v>119.6</v>
      </c>
      <c r="K26" s="27" t="s">
        <v>427</v>
      </c>
    </row>
    <row r="27" spans="3:11" x14ac:dyDescent="0.2">
      <c r="C27" s="6" t="s">
        <v>428</v>
      </c>
      <c r="E27" s="67">
        <f>E26/(E26+E23)</f>
        <v>0.10946828883631858</v>
      </c>
    </row>
    <row r="28" spans="3:11" x14ac:dyDescent="0.2">
      <c r="C28" s="6" t="s">
        <v>429</v>
      </c>
      <c r="E28" s="67">
        <f>E26/E23</f>
        <v>0.1229246386894785</v>
      </c>
    </row>
    <row r="30" spans="3:11" x14ac:dyDescent="0.2">
      <c r="C30" s="16" t="s">
        <v>430</v>
      </c>
      <c r="D30" s="16"/>
      <c r="E30" s="16"/>
      <c r="F30" s="16"/>
      <c r="G30" s="16"/>
      <c r="H30" s="16"/>
      <c r="I30" s="16"/>
      <c r="J30" s="16"/>
      <c r="K30" s="16"/>
    </row>
    <row r="31" spans="3:11" x14ac:dyDescent="0.2">
      <c r="C31" s="6" t="s">
        <v>431</v>
      </c>
      <c r="E31" s="108">
        <f>E18*(1+(1-E8)*E28)</f>
        <v>0.86883779766610802</v>
      </c>
      <c r="K31" s="27" t="s">
        <v>432</v>
      </c>
    </row>
    <row r="32" spans="3:11" x14ac:dyDescent="0.2">
      <c r="C32" s="10" t="s">
        <v>433</v>
      </c>
      <c r="E32" s="97">
        <f>E6+E31*E7</f>
        <v>0.10113026785996648</v>
      </c>
      <c r="K32" s="15" t="s">
        <v>434</v>
      </c>
    </row>
    <row r="34" spans="3:11" x14ac:dyDescent="0.2">
      <c r="C34" s="16" t="s">
        <v>435</v>
      </c>
      <c r="D34" s="16"/>
      <c r="E34" s="16"/>
      <c r="F34" s="16"/>
      <c r="G34" s="16"/>
      <c r="H34" s="16"/>
      <c r="I34" s="16"/>
      <c r="J34" s="16"/>
      <c r="K34" s="16"/>
    </row>
    <row r="35" spans="3:11" x14ac:dyDescent="0.2">
      <c r="C35" s="6" t="s">
        <v>436</v>
      </c>
      <c r="E35" s="100">
        <v>5.6000000000000001E-2</v>
      </c>
      <c r="K35" s="27" t="s">
        <v>437</v>
      </c>
    </row>
    <row r="36" spans="3:11" x14ac:dyDescent="0.2">
      <c r="C36" s="6" t="s">
        <v>438</v>
      </c>
      <c r="E36" s="43">
        <f>Historicals!H70</f>
        <v>5.1259963507401959E-2</v>
      </c>
      <c r="K36" s="27" t="s">
        <v>439</v>
      </c>
    </row>
    <row r="37" spans="3:11" x14ac:dyDescent="0.2">
      <c r="C37" s="6" t="s">
        <v>440</v>
      </c>
      <c r="E37" s="14">
        <f>E35</f>
        <v>5.6000000000000001E-2</v>
      </c>
    </row>
    <row r="38" spans="3:11" x14ac:dyDescent="0.2">
      <c r="C38" s="6" t="s">
        <v>441</v>
      </c>
      <c r="E38" s="14">
        <f>E37*(1-E8)</f>
        <v>3.9199999999999999E-2</v>
      </c>
    </row>
    <row r="40" spans="3:11" x14ac:dyDescent="0.2">
      <c r="C40" s="16" t="s">
        <v>442</v>
      </c>
      <c r="D40" s="16"/>
      <c r="E40" s="16"/>
      <c r="F40" s="16"/>
      <c r="G40" s="16"/>
      <c r="H40" s="16"/>
      <c r="I40" s="16"/>
      <c r="J40" s="16"/>
      <c r="K40" s="16"/>
    </row>
    <row r="41" spans="3:11" ht="17" thickBot="1" x14ac:dyDescent="0.25">
      <c r="C41" s="111" t="s">
        <v>443</v>
      </c>
      <c r="E41" s="112">
        <f>E32*(1-E27)+E38*E27</f>
        <v>9.4350867410161104E-2</v>
      </c>
    </row>
    <row r="42" spans="3:11" ht="17" thickTop="1" x14ac:dyDescent="0.2"/>
    <row r="43" spans="3:11" x14ac:dyDescent="0.2">
      <c r="C43" s="113" t="s">
        <v>444</v>
      </c>
      <c r="D43" s="114"/>
      <c r="E43" s="114"/>
      <c r="F43" s="114"/>
      <c r="G43" s="114"/>
      <c r="H43" s="114"/>
      <c r="I43" s="114"/>
      <c r="J43" s="114"/>
      <c r="K43" s="115" t="s">
        <v>454</v>
      </c>
    </row>
    <row r="44" spans="3:11" x14ac:dyDescent="0.2">
      <c r="C44" s="6" t="s">
        <v>445</v>
      </c>
      <c r="E44" s="67">
        <f>(E24+E25)/(E24+E25+E23)</f>
        <v>0.43533172319272129</v>
      </c>
    </row>
    <row r="45" spans="3:11" x14ac:dyDescent="0.2">
      <c r="C45" s="6" t="s">
        <v>446</v>
      </c>
      <c r="E45" s="108">
        <f>E18*(1+(1-E8)*(E24+E25)/E23)</f>
        <v>1.2317327092754815</v>
      </c>
    </row>
    <row r="46" spans="3:11" x14ac:dyDescent="0.2">
      <c r="C46" s="6" t="s">
        <v>447</v>
      </c>
      <c r="E46" s="68">
        <f>(E24+E25)/Historicals!H7</f>
        <v>3.0678936605316975</v>
      </c>
      <c r="K46" s="27" t="s">
        <v>448</v>
      </c>
    </row>
    <row r="48" spans="3:11" x14ac:dyDescent="0.2">
      <c r="C48" s="106" t="s">
        <v>449</v>
      </c>
    </row>
    <row r="49" spans="3:11" x14ac:dyDescent="0.2">
      <c r="C49" s="163" t="s">
        <v>450</v>
      </c>
      <c r="D49" s="163"/>
      <c r="E49" s="163"/>
      <c r="F49" s="163"/>
      <c r="G49" s="163"/>
      <c r="H49" s="163"/>
      <c r="I49" s="163"/>
      <c r="J49" s="163"/>
      <c r="K49" s="163"/>
    </row>
    <row r="50" spans="3:11" x14ac:dyDescent="0.2">
      <c r="C50" s="163"/>
      <c r="D50" s="163"/>
      <c r="E50" s="163"/>
      <c r="F50" s="163"/>
      <c r="G50" s="163"/>
      <c r="H50" s="163"/>
      <c r="I50" s="163"/>
      <c r="J50" s="163"/>
      <c r="K50" s="163"/>
    </row>
  </sheetData>
  <mergeCells count="1">
    <mergeCell ref="C49:K5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34654-F001-D54C-9C96-1E407BF58ABB}">
  <dimension ref="B2:P88"/>
  <sheetViews>
    <sheetView showGridLines="0" workbookViewId="0">
      <selection activeCell="N11" sqref="N11"/>
    </sheetView>
  </sheetViews>
  <sheetFormatPr baseColWidth="10" defaultRowHeight="16" x14ac:dyDescent="0.2"/>
  <cols>
    <col min="1" max="2" width="2.83203125" customWidth="1"/>
    <col min="3" max="3" width="51.5" customWidth="1"/>
    <col min="4" max="8" width="13.6640625" bestFit="1" customWidth="1"/>
  </cols>
  <sheetData>
    <row r="2" spans="2:16" ht="20" x14ac:dyDescent="0.2">
      <c r="B2" s="45" t="s">
        <v>455</v>
      </c>
    </row>
    <row r="3" spans="2:16" x14ac:dyDescent="0.2">
      <c r="C3" s="15" t="s">
        <v>456</v>
      </c>
    </row>
    <row r="5" spans="2:16" x14ac:dyDescent="0.2">
      <c r="C5" s="17" t="s">
        <v>1</v>
      </c>
      <c r="D5" s="18" t="s">
        <v>59</v>
      </c>
      <c r="F5" s="19" t="s">
        <v>132</v>
      </c>
      <c r="G5" s="19" t="s">
        <v>133</v>
      </c>
      <c r="H5" s="19" t="s">
        <v>134</v>
      </c>
      <c r="I5" s="19" t="s">
        <v>135</v>
      </c>
      <c r="J5" s="19" t="s">
        <v>136</v>
      </c>
      <c r="K5" s="19" t="s">
        <v>298</v>
      </c>
      <c r="L5" s="19" t="s">
        <v>299</v>
      </c>
      <c r="M5" s="19" t="s">
        <v>300</v>
      </c>
      <c r="N5" s="19" t="s">
        <v>301</v>
      </c>
      <c r="P5" s="17" t="s">
        <v>457</v>
      </c>
    </row>
    <row r="6" spans="2:16" x14ac:dyDescent="0.2">
      <c r="C6" s="16" t="s">
        <v>458</v>
      </c>
      <c r="D6" s="16"/>
      <c r="E6" s="16"/>
      <c r="F6" s="16"/>
      <c r="G6" s="16"/>
      <c r="H6" s="16"/>
      <c r="I6" s="16"/>
      <c r="J6" s="16"/>
      <c r="K6" s="16"/>
      <c r="L6" s="16"/>
      <c r="M6" s="16"/>
      <c r="N6" s="16"/>
      <c r="O6" s="16"/>
      <c r="P6" s="16"/>
    </row>
    <row r="7" spans="2:16" x14ac:dyDescent="0.2">
      <c r="C7" s="6" t="s">
        <v>459</v>
      </c>
      <c r="F7" s="5">
        <v>1</v>
      </c>
      <c r="G7" s="5">
        <v>2</v>
      </c>
      <c r="H7" s="5">
        <v>3</v>
      </c>
      <c r="I7" s="5">
        <v>4</v>
      </c>
      <c r="J7" s="5">
        <v>5</v>
      </c>
      <c r="K7" s="5">
        <v>6</v>
      </c>
      <c r="L7" s="5">
        <v>7</v>
      </c>
      <c r="M7" s="5">
        <v>8</v>
      </c>
      <c r="N7" s="5">
        <v>9</v>
      </c>
    </row>
    <row r="8" spans="2:16" x14ac:dyDescent="0.2">
      <c r="C8" s="6" t="s">
        <v>460</v>
      </c>
      <c r="F8" s="117">
        <f>F7-IF(Control!$D$10=1,0.5,0)</f>
        <v>0.5</v>
      </c>
      <c r="G8" s="117">
        <f>G7-IF(Control!$D$10=1,0.5,0)</f>
        <v>1.5</v>
      </c>
      <c r="H8" s="117">
        <f>H7-IF(Control!$D$10=1,0.5,0)</f>
        <v>2.5</v>
      </c>
      <c r="I8" s="117">
        <f>I7-IF(Control!$D$10=1,0.5,0)</f>
        <v>3.5</v>
      </c>
      <c r="J8" s="117">
        <f>J7-IF(Control!$D$10=1,0.5,0)</f>
        <v>4.5</v>
      </c>
      <c r="K8" s="117">
        <f>K7-IF(Control!$D$10=1,0.5,0)</f>
        <v>5.5</v>
      </c>
      <c r="L8" s="117">
        <f>L7-IF(Control!$D$10=1,0.5,0)</f>
        <v>6.5</v>
      </c>
      <c r="M8" s="117">
        <f>M7-IF(Control!$D$10=1,0.5,0)</f>
        <v>7.5</v>
      </c>
      <c r="N8" s="117">
        <f>N7-IF(Control!$D$10=1,0.5,0)</f>
        <v>8.5</v>
      </c>
      <c r="P8" s="27" t="s">
        <v>461</v>
      </c>
    </row>
    <row r="9" spans="2:16" x14ac:dyDescent="0.2">
      <c r="C9" s="6" t="s">
        <v>462</v>
      </c>
      <c r="E9" s="43">
        <f>WACC!E41</f>
        <v>9.4350867410161104E-2</v>
      </c>
    </row>
    <row r="10" spans="2:16" x14ac:dyDescent="0.2">
      <c r="C10" s="6" t="s">
        <v>463</v>
      </c>
      <c r="F10" s="118">
        <f>1/(1+$E$9)^F8</f>
        <v>0.95592034917265545</v>
      </c>
      <c r="G10" s="118">
        <f t="shared" ref="G10:N10" si="0">1/(1+$E$9)^G8</f>
        <v>0.87350444691919626</v>
      </c>
      <c r="H10" s="118">
        <f t="shared" si="0"/>
        <v>0.79819413766847047</v>
      </c>
      <c r="I10" s="118">
        <f t="shared" si="0"/>
        <v>0.72937680358168744</v>
      </c>
      <c r="J10" s="118">
        <f t="shared" si="0"/>
        <v>0.66649264445487755</v>
      </c>
      <c r="K10" s="118">
        <f t="shared" si="0"/>
        <v>0.60903012397858058</v>
      </c>
      <c r="L10" s="118">
        <f t="shared" si="0"/>
        <v>0.55652180860411093</v>
      </c>
      <c r="M10" s="118">
        <f t="shared" si="0"/>
        <v>0.5085405651673206</v>
      </c>
      <c r="N10" s="118">
        <f t="shared" si="0"/>
        <v>0.46469608633911769</v>
      </c>
    </row>
    <row r="11" spans="2:16" x14ac:dyDescent="0.2">
      <c r="C11" s="6" t="s">
        <v>464</v>
      </c>
      <c r="F11" s="40">
        <f>Model!F79</f>
        <v>-8.9774218502783683</v>
      </c>
      <c r="G11" s="40">
        <f>Model!G79</f>
        <v>61.524680291158191</v>
      </c>
      <c r="H11" s="40">
        <f>Model!H79</f>
        <v>70.36231519230364</v>
      </c>
      <c r="I11" s="40">
        <f>Model!I79</f>
        <v>72.530921460412884</v>
      </c>
      <c r="J11" s="40">
        <f>Model!J79</f>
        <v>74.864666328514858</v>
      </c>
      <c r="K11" s="40">
        <f>Model!K79</f>
        <v>82.275773280205641</v>
      </c>
      <c r="L11" s="40">
        <f>Model!L79</f>
        <v>89.291795541966707</v>
      </c>
      <c r="M11" s="40">
        <f>Model!M79</f>
        <v>96.4378597861934</v>
      </c>
      <c r="N11" s="40">
        <f>Model!N79</f>
        <v>98.91125079926104</v>
      </c>
    </row>
    <row r="12" spans="2:16" x14ac:dyDescent="0.2">
      <c r="C12" s="6" t="s">
        <v>465</v>
      </c>
      <c r="F12" s="9">
        <f t="shared" ref="F12:N12" si="1">F11*F10</f>
        <v>-8.5817002297883249</v>
      </c>
      <c r="G12" s="9">
        <f t="shared" si="1"/>
        <v>53.742081829608509</v>
      </c>
      <c r="H12" s="9">
        <f t="shared" si="1"/>
        <v>56.162787499277925</v>
      </c>
      <c r="I12" s="9">
        <f t="shared" si="1"/>
        <v>52.902371655630368</v>
      </c>
      <c r="J12" s="9">
        <f t="shared" si="1"/>
        <v>49.896749437523894</v>
      </c>
      <c r="K12" s="9">
        <f t="shared" si="1"/>
        <v>50.108424401277226</v>
      </c>
      <c r="L12" s="9">
        <f t="shared" si="1"/>
        <v>49.692831548523799</v>
      </c>
      <c r="M12" s="9">
        <f t="shared" si="1"/>
        <v>49.042563719197609</v>
      </c>
      <c r="N12" s="9">
        <f t="shared" si="1"/>
        <v>45.96367114132353</v>
      </c>
    </row>
    <row r="13" spans="2:16" x14ac:dyDescent="0.2">
      <c r="C13" s="10" t="s">
        <v>466</v>
      </c>
      <c r="E13" s="91">
        <f>SUM(F12:N12)</f>
        <v>398.92978100257454</v>
      </c>
    </row>
    <row r="15" spans="2:16" x14ac:dyDescent="0.2">
      <c r="C15" s="16" t="s">
        <v>467</v>
      </c>
      <c r="D15" s="16"/>
      <c r="E15" s="16"/>
      <c r="F15" s="16"/>
      <c r="G15" s="16"/>
      <c r="H15" s="16"/>
      <c r="I15" s="16"/>
      <c r="J15" s="16"/>
      <c r="K15" s="16"/>
      <c r="L15" s="16"/>
      <c r="M15" s="16"/>
      <c r="N15" s="16"/>
      <c r="O15" s="16"/>
      <c r="P15" s="16"/>
    </row>
    <row r="16" spans="2:16" x14ac:dyDescent="0.2">
      <c r="C16" s="119" t="s">
        <v>468</v>
      </c>
    </row>
    <row r="17" spans="3:16" x14ac:dyDescent="0.2">
      <c r="C17" s="6" t="s">
        <v>178</v>
      </c>
      <c r="E17" s="43">
        <f>Assumptions!E133</f>
        <v>0.02</v>
      </c>
    </row>
    <row r="18" spans="3:16" x14ac:dyDescent="0.2">
      <c r="C18" s="6" t="s">
        <v>469</v>
      </c>
      <c r="E18" s="39">
        <f>Model!N41</f>
        <v>2.9420061195285729E-2</v>
      </c>
      <c r="P18" s="27" t="s">
        <v>470</v>
      </c>
    </row>
    <row r="19" spans="3:16" x14ac:dyDescent="0.2">
      <c r="C19" s="6" t="s">
        <v>471</v>
      </c>
      <c r="E19" s="40">
        <f>N11</f>
        <v>98.91125079926104</v>
      </c>
    </row>
    <row r="20" spans="3:16" x14ac:dyDescent="0.2">
      <c r="C20" s="6" t="s">
        <v>472</v>
      </c>
      <c r="E20" s="40">
        <f>Model!N61</f>
        <v>65.97968643881174</v>
      </c>
      <c r="P20" s="27" t="s">
        <v>473</v>
      </c>
    </row>
    <row r="21" spans="3:16" x14ac:dyDescent="0.2">
      <c r="C21" s="6" t="s">
        <v>474</v>
      </c>
      <c r="E21" s="40">
        <f>-Model!N51</f>
        <v>71.043458833925513</v>
      </c>
    </row>
    <row r="22" spans="3:16" x14ac:dyDescent="0.2">
      <c r="C22" s="6" t="s">
        <v>475</v>
      </c>
      <c r="E22" s="102">
        <v>1</v>
      </c>
      <c r="P22" s="27" t="s">
        <v>476</v>
      </c>
    </row>
    <row r="23" spans="3:16" x14ac:dyDescent="0.2">
      <c r="C23" s="6" t="s">
        <v>477</v>
      </c>
      <c r="E23" s="9">
        <f>E21*(1+E17)*E22</f>
        <v>72.464328010604021</v>
      </c>
      <c r="P23" s="27" t="s">
        <v>478</v>
      </c>
    </row>
    <row r="24" spans="3:16" x14ac:dyDescent="0.2">
      <c r="C24" s="6" t="s">
        <v>479</v>
      </c>
      <c r="E24" s="40">
        <f>Model!N64</f>
        <v>3.6412245150818592</v>
      </c>
    </row>
    <row r="25" spans="3:16" x14ac:dyDescent="0.2">
      <c r="C25" s="6" t="s">
        <v>480</v>
      </c>
      <c r="E25" s="9">
        <f>-Model!N63*E17</f>
        <v>2.5481589166388225</v>
      </c>
      <c r="P25" s="27" t="s">
        <v>481</v>
      </c>
    </row>
    <row r="26" spans="3:16" x14ac:dyDescent="0.2">
      <c r="C26" s="10" t="s">
        <v>482</v>
      </c>
      <c r="E26" s="91">
        <f>E19+E20-E23-E24+E25</f>
        <v>91.333543629025726</v>
      </c>
    </row>
    <row r="27" spans="3:16" ht="17" thickBot="1" x14ac:dyDescent="0.25">
      <c r="C27" s="10" t="s">
        <v>483</v>
      </c>
      <c r="E27" s="94">
        <f>E26</f>
        <v>91.333543629025726</v>
      </c>
      <c r="P27" s="27" t="s">
        <v>484</v>
      </c>
    </row>
    <row r="28" spans="3:16" ht="17" thickTop="1" x14ac:dyDescent="0.2"/>
    <row r="29" spans="3:16" x14ac:dyDescent="0.2">
      <c r="C29" s="16" t="s">
        <v>485</v>
      </c>
      <c r="D29" s="16"/>
      <c r="E29" s="16"/>
      <c r="F29" s="16"/>
      <c r="G29" s="16"/>
      <c r="H29" s="16"/>
      <c r="I29" s="16"/>
      <c r="J29" s="16"/>
      <c r="K29" s="16"/>
      <c r="L29" s="16"/>
      <c r="M29" s="16"/>
      <c r="N29" s="16"/>
      <c r="O29" s="16"/>
      <c r="P29" s="16"/>
    </row>
    <row r="30" spans="3:16" x14ac:dyDescent="0.2">
      <c r="C30" s="6" t="s">
        <v>486</v>
      </c>
      <c r="E30" s="120">
        <f>IF($E$9&lt;=$E$17,0,E27*(1+E17)/($E$9-E17))</f>
        <v>1252.980869579937</v>
      </c>
      <c r="P30" s="27" t="s">
        <v>487</v>
      </c>
    </row>
    <row r="31" spans="3:16" x14ac:dyDescent="0.2">
      <c r="C31" s="6" t="s">
        <v>488</v>
      </c>
      <c r="E31" s="40">
        <f>Model!N48</f>
        <v>200.83662989732898</v>
      </c>
    </row>
    <row r="32" spans="3:16" x14ac:dyDescent="0.2">
      <c r="C32" s="6" t="s">
        <v>489</v>
      </c>
      <c r="E32" s="38">
        <f>Assumptions!E134</f>
        <v>6</v>
      </c>
    </row>
    <row r="33" spans="3:16" x14ac:dyDescent="0.2">
      <c r="C33" s="6" t="s">
        <v>490</v>
      </c>
      <c r="E33" s="120">
        <f>E31*E32</f>
        <v>1205.0197793839739</v>
      </c>
    </row>
    <row r="34" spans="3:16" x14ac:dyDescent="0.2">
      <c r="C34" s="10" t="s">
        <v>491</v>
      </c>
      <c r="E34" s="121">
        <f>CHOOSE(Control!$D$9,E30,E33)</f>
        <v>1252.980869579937</v>
      </c>
    </row>
    <row r="35" spans="3:16" x14ac:dyDescent="0.2">
      <c r="C35" s="6" t="s">
        <v>492</v>
      </c>
      <c r="E35" s="118">
        <f>1/(1+$E$9)^N7</f>
        <v>0.44421244511245594</v>
      </c>
      <c r="P35" s="27" t="s">
        <v>493</v>
      </c>
    </row>
    <row r="36" spans="3:16" x14ac:dyDescent="0.2">
      <c r="C36" s="10" t="s">
        <v>494</v>
      </c>
      <c r="E36" s="104">
        <f>E34*E35</f>
        <v>556.58969575523508</v>
      </c>
    </row>
    <row r="37" spans="3:16" x14ac:dyDescent="0.2">
      <c r="C37" s="6" t="s">
        <v>495</v>
      </c>
      <c r="E37" s="68">
        <f>IFERROR(E30/E31,0)</f>
        <v>6.2388064877432052</v>
      </c>
      <c r="P37" s="27" t="s">
        <v>496</v>
      </c>
    </row>
    <row r="38" spans="3:16" x14ac:dyDescent="0.2">
      <c r="C38" s="6" t="s">
        <v>497</v>
      </c>
      <c r="E38" s="14">
        <f>IFERROR(($E$9*E33-E27)/(E33+E27),0)</f>
        <v>1.72492463322277E-2</v>
      </c>
      <c r="P38" s="27" t="s">
        <v>498</v>
      </c>
    </row>
    <row r="40" spans="3:16" x14ac:dyDescent="0.2">
      <c r="C40" s="16" t="s">
        <v>499</v>
      </c>
      <c r="D40" s="16"/>
      <c r="E40" s="16"/>
      <c r="F40" s="16"/>
      <c r="G40" s="16"/>
      <c r="H40" s="16"/>
      <c r="I40" s="16"/>
      <c r="J40" s="16"/>
      <c r="K40" s="16"/>
      <c r="L40" s="16"/>
      <c r="M40" s="16"/>
      <c r="N40" s="16"/>
      <c r="O40" s="16"/>
      <c r="P40" s="16"/>
    </row>
    <row r="41" spans="3:16" x14ac:dyDescent="0.2">
      <c r="C41" s="10" t="s">
        <v>500</v>
      </c>
      <c r="E41" s="121">
        <f>E13+E36</f>
        <v>955.51947675780957</v>
      </c>
    </row>
    <row r="42" spans="3:16" x14ac:dyDescent="0.2">
      <c r="C42" s="6" t="s">
        <v>501</v>
      </c>
      <c r="E42" s="32">
        <f>-Historicals!H53</f>
        <v>-119.6</v>
      </c>
    </row>
    <row r="43" spans="3:16" x14ac:dyDescent="0.2">
      <c r="C43" s="6" t="s">
        <v>502</v>
      </c>
      <c r="E43" s="122">
        <v>0</v>
      </c>
      <c r="P43" s="27" t="s">
        <v>503</v>
      </c>
    </row>
    <row r="44" spans="3:16" x14ac:dyDescent="0.2">
      <c r="C44" s="6" t="s">
        <v>504</v>
      </c>
      <c r="E44" s="123">
        <f>E42+E43</f>
        <v>-119.6</v>
      </c>
    </row>
    <row r="45" spans="3:16" x14ac:dyDescent="0.2">
      <c r="C45" s="111" t="s">
        <v>505</v>
      </c>
      <c r="E45" s="124">
        <f>E41+E44</f>
        <v>835.91947675780955</v>
      </c>
    </row>
    <row r="46" spans="3:16" x14ac:dyDescent="0.2">
      <c r="C46" s="6" t="s">
        <v>207</v>
      </c>
      <c r="E46" s="34">
        <f>WACC!E22</f>
        <v>118.07692307692307</v>
      </c>
    </row>
    <row r="47" spans="3:16" ht="17" thickBot="1" x14ac:dyDescent="0.25">
      <c r="C47" s="125" t="s">
        <v>209</v>
      </c>
      <c r="E47" s="126">
        <f>E45/E46</f>
        <v>7.0794483373625567</v>
      </c>
    </row>
    <row r="48" spans="3:16" ht="17" thickTop="1" x14ac:dyDescent="0.2">
      <c r="C48" s="6" t="s">
        <v>211</v>
      </c>
      <c r="E48" s="36">
        <f>WACC!E21</f>
        <v>8.24</v>
      </c>
    </row>
    <row r="49" spans="3:16" x14ac:dyDescent="0.2">
      <c r="C49" s="10" t="s">
        <v>213</v>
      </c>
      <c r="E49" s="127">
        <f>E47/E48-1</f>
        <v>-0.14084364837833052</v>
      </c>
    </row>
    <row r="51" spans="3:16" x14ac:dyDescent="0.2">
      <c r="C51" s="16" t="s">
        <v>506</v>
      </c>
      <c r="D51" s="16"/>
      <c r="E51" s="16"/>
      <c r="F51" s="16"/>
      <c r="G51" s="16"/>
      <c r="H51" s="16"/>
      <c r="I51" s="16"/>
      <c r="J51" s="16"/>
      <c r="K51" s="16"/>
      <c r="L51" s="16"/>
      <c r="M51" s="16"/>
      <c r="N51" s="16"/>
      <c r="O51" s="16"/>
      <c r="P51" s="16"/>
    </row>
    <row r="52" spans="3:16" x14ac:dyDescent="0.2">
      <c r="C52" s="6" t="s">
        <v>215</v>
      </c>
      <c r="E52" s="68">
        <f>E41/Model!E80</f>
        <v>5.9422520443468256</v>
      </c>
    </row>
    <row r="53" spans="3:16" x14ac:dyDescent="0.2">
      <c r="C53" s="6" t="s">
        <v>507</v>
      </c>
      <c r="E53" s="67">
        <f>E36/E41</f>
        <v>0.58249958194866902</v>
      </c>
      <c r="P53" s="27" t="s">
        <v>508</v>
      </c>
    </row>
    <row r="54" spans="3:16" x14ac:dyDescent="0.2">
      <c r="C54" s="6" t="s">
        <v>509</v>
      </c>
      <c r="E54" s="120">
        <f>E45</f>
        <v>835.91947675780955</v>
      </c>
    </row>
    <row r="56" spans="3:16" x14ac:dyDescent="0.2">
      <c r="C56" s="16" t="s">
        <v>510</v>
      </c>
      <c r="D56" s="16"/>
      <c r="E56" s="16"/>
      <c r="F56" s="16"/>
      <c r="G56" s="16"/>
      <c r="H56" s="16"/>
      <c r="I56" s="16"/>
      <c r="J56" s="16"/>
      <c r="K56" s="16"/>
      <c r="L56" s="16"/>
      <c r="M56" s="16"/>
      <c r="N56" s="16"/>
      <c r="O56" s="16"/>
      <c r="P56" s="16"/>
    </row>
    <row r="57" spans="3:16" x14ac:dyDescent="0.2">
      <c r="C57" s="119" t="s">
        <v>511</v>
      </c>
    </row>
    <row r="58" spans="3:16" x14ac:dyDescent="0.2">
      <c r="C58" s="6" t="s">
        <v>512</v>
      </c>
      <c r="E58" s="40">
        <f>-Model!F47</f>
        <v>88.393245270923956</v>
      </c>
    </row>
    <row r="59" spans="3:16" x14ac:dyDescent="0.2">
      <c r="C59" s="6" t="s">
        <v>513</v>
      </c>
      <c r="E59" s="9">
        <f>E58*(1-Historicals!$H$65)</f>
        <v>61.885350736998078</v>
      </c>
    </row>
    <row r="60" spans="3:16" x14ac:dyDescent="0.2">
      <c r="C60" s="10" t="s">
        <v>514</v>
      </c>
      <c r="E60" s="104">
        <f>IF($E$9&lt;=$E$17,0,E59/($E$9-$E$17))</f>
        <v>832.3420141906854</v>
      </c>
    </row>
    <row r="61" spans="3:16" x14ac:dyDescent="0.2">
      <c r="C61" s="6" t="s">
        <v>515</v>
      </c>
      <c r="E61" s="32">
        <f>Historicals!H54</f>
        <v>630.5</v>
      </c>
    </row>
    <row r="62" spans="3:16" x14ac:dyDescent="0.2">
      <c r="C62" s="10" t="s">
        <v>516</v>
      </c>
      <c r="E62" s="128">
        <f>E60-E61</f>
        <v>201.8420141906854</v>
      </c>
      <c r="P62" s="27" t="s">
        <v>517</v>
      </c>
    </row>
    <row r="64" spans="3:16" x14ac:dyDescent="0.2">
      <c r="C64" s="106" t="s">
        <v>518</v>
      </c>
    </row>
    <row r="65" spans="2:14" x14ac:dyDescent="0.2">
      <c r="C65" s="163" t="s">
        <v>519</v>
      </c>
      <c r="D65" s="163"/>
      <c r="E65" s="163"/>
      <c r="F65" s="163"/>
      <c r="G65" s="163"/>
      <c r="H65" s="163"/>
      <c r="I65" s="163"/>
      <c r="J65" s="163"/>
      <c r="K65" s="163"/>
      <c r="L65" s="163"/>
      <c r="M65" s="163"/>
      <c r="N65" s="163"/>
    </row>
    <row r="66" spans="2:14" x14ac:dyDescent="0.2">
      <c r="C66" s="163"/>
      <c r="D66" s="163"/>
      <c r="E66" s="163"/>
      <c r="F66" s="163"/>
      <c r="G66" s="163"/>
      <c r="H66" s="163"/>
      <c r="I66" s="163"/>
      <c r="J66" s="163"/>
      <c r="K66" s="163"/>
      <c r="L66" s="163"/>
      <c r="M66" s="163"/>
      <c r="N66" s="163"/>
    </row>
    <row r="69" spans="2:14" ht="18" x14ac:dyDescent="0.25">
      <c r="B69" s="145" t="s">
        <v>597</v>
      </c>
    </row>
    <row r="71" spans="2:14" x14ac:dyDescent="0.2">
      <c r="B71" s="16" t="s">
        <v>598</v>
      </c>
      <c r="C71" s="16"/>
      <c r="D71" s="16"/>
      <c r="E71" s="16"/>
      <c r="F71" s="16"/>
      <c r="G71" s="16"/>
      <c r="H71" s="16"/>
    </row>
    <row r="73" spans="2:14" x14ac:dyDescent="0.2">
      <c r="C73" s="149" t="s">
        <v>599</v>
      </c>
    </row>
    <row r="74" spans="2:14" x14ac:dyDescent="0.2">
      <c r="C74" s="148">
        <f>E47</f>
        <v>7.0794483373625567</v>
      </c>
      <c r="D74" s="147">
        <v>1.4999999999999999E-2</v>
      </c>
      <c r="E74" s="147">
        <v>0.02</v>
      </c>
      <c r="F74" s="147">
        <v>2.5000000000000001E-2</v>
      </c>
      <c r="G74" s="147">
        <v>0.03</v>
      </c>
      <c r="H74" s="147">
        <v>3.5000000000000003E-2</v>
      </c>
    </row>
    <row r="75" spans="2:14" x14ac:dyDescent="0.2">
      <c r="C75" s="146">
        <f>C76-0.5%</f>
        <v>8.4399999999999989E-2</v>
      </c>
      <c r="D75" s="150">
        <f t="dataTable" ref="D75:H79" dt2D="1" dtr="1" r1="E17" r2="E9" ca="1"/>
        <v>7.9624342310629679</v>
      </c>
      <c r="E75" s="150">
        <v>8.4318267830645901</v>
      </c>
      <c r="F75" s="150">
        <v>8.9804354344830983</v>
      </c>
      <c r="G75" s="150">
        <v>9.6301028597900658</v>
      </c>
      <c r="H75" s="150">
        <v>10.411514921502226</v>
      </c>
    </row>
    <row r="76" spans="2:14" x14ac:dyDescent="0.2">
      <c r="C76" s="146">
        <f>C77-0.5%</f>
        <v>8.9399999999999993E-2</v>
      </c>
      <c r="D76" s="150">
        <v>7.3106373844944148</v>
      </c>
      <c r="E76" s="150">
        <v>7.7032796469291585</v>
      </c>
      <c r="F76" s="150">
        <v>8.1570626945871574</v>
      </c>
      <c r="G76" s="150">
        <v>8.6874261196965126</v>
      </c>
      <c r="H76" s="150">
        <v>9.3154858351574124</v>
      </c>
    </row>
    <row r="77" spans="2:14" x14ac:dyDescent="0.2">
      <c r="C77" s="146">
        <v>9.4399999999999998E-2</v>
      </c>
      <c r="D77" s="150">
        <v>6.7419795395131352</v>
      </c>
      <c r="E77" s="150">
        <v>7.0736783302880859</v>
      </c>
      <c r="F77" s="151">
        <v>7.4533250454601614</v>
      </c>
      <c r="G77" s="150">
        <v>7.8920876798423549</v>
      </c>
      <c r="H77" s="150">
        <v>8.404894495861468</v>
      </c>
    </row>
    <row r="78" spans="2:14" x14ac:dyDescent="0.2">
      <c r="C78" s="146">
        <f>C77+0.5%</f>
        <v>9.9400000000000002E-2</v>
      </c>
      <c r="D78" s="150">
        <v>6.2416384675406977</v>
      </c>
      <c r="E78" s="150">
        <v>6.5242837755705008</v>
      </c>
      <c r="F78" s="150">
        <v>6.8450557656025506</v>
      </c>
      <c r="G78" s="150">
        <v>7.2121950749572248</v>
      </c>
      <c r="H78" s="150">
        <v>7.6365015450916527</v>
      </c>
    </row>
    <row r="79" spans="2:14" x14ac:dyDescent="0.2">
      <c r="C79" s="146">
        <f>C78+0.5%</f>
        <v>0.10440000000000001</v>
      </c>
      <c r="D79" s="150">
        <v>5.7981104967276558</v>
      </c>
      <c r="E79" s="150">
        <v>6.0408001519046808</v>
      </c>
      <c r="F79" s="150">
        <v>6.3141782399236082</v>
      </c>
      <c r="G79" s="150">
        <v>6.6244319448251474</v>
      </c>
      <c r="H79" s="150">
        <v>6.9795315008058241</v>
      </c>
    </row>
    <row r="82" spans="3:8" x14ac:dyDescent="0.2">
      <c r="C82" s="149" t="s">
        <v>600</v>
      </c>
    </row>
    <row r="83" spans="3:8" x14ac:dyDescent="0.2">
      <c r="C83" s="148">
        <f>E47</f>
        <v>7.0794483373625567</v>
      </c>
      <c r="D83" s="152">
        <f>E83-1</f>
        <v>5</v>
      </c>
      <c r="E83" s="152">
        <f>F83-1</f>
        <v>6</v>
      </c>
      <c r="F83" s="152">
        <v>7</v>
      </c>
      <c r="G83" s="152">
        <f>F83+1</f>
        <v>8</v>
      </c>
      <c r="H83" s="152">
        <f>G83+1</f>
        <v>9</v>
      </c>
    </row>
    <row r="84" spans="3:8" x14ac:dyDescent="0.2">
      <c r="C84" s="146">
        <f>C85-0.5%</f>
        <v>8.4399999999999989E-2</v>
      </c>
      <c r="D84" s="150">
        <f t="dataTable" ref="D84:H88" dt2D="1" dtr="1" r1="E32" r2="E9"/>
        <v>8.4318267830645901</v>
      </c>
      <c r="E84" s="150">
        <v>8.4318267830645901</v>
      </c>
      <c r="F84" s="150">
        <v>8.4318267830645901</v>
      </c>
      <c r="G84" s="150">
        <v>8.4318267830645901</v>
      </c>
      <c r="H84" s="150">
        <v>8.4318267830645901</v>
      </c>
    </row>
    <row r="85" spans="3:8" x14ac:dyDescent="0.2">
      <c r="C85" s="146">
        <f>C86-0.5%</f>
        <v>8.9399999999999993E-2</v>
      </c>
      <c r="D85" s="150">
        <v>7.7032796469291585</v>
      </c>
      <c r="E85" s="150">
        <v>7.7032796469291585</v>
      </c>
      <c r="F85" s="150">
        <v>7.7032796469291585</v>
      </c>
      <c r="G85" s="150">
        <v>7.7032796469291585</v>
      </c>
      <c r="H85" s="150">
        <v>7.7032796469291585</v>
      </c>
    </row>
    <row r="86" spans="3:8" x14ac:dyDescent="0.2">
      <c r="C86" s="146">
        <v>9.4399999999999998E-2</v>
      </c>
      <c r="D86" s="150">
        <v>7.0736783302880859</v>
      </c>
      <c r="E86" s="150">
        <v>7.0736783302880859</v>
      </c>
      <c r="F86" s="151">
        <v>7.0736783302880859</v>
      </c>
      <c r="G86" s="150">
        <v>7.0736783302880859</v>
      </c>
      <c r="H86" s="150">
        <v>7.0736783302880859</v>
      </c>
    </row>
    <row r="87" spans="3:8" x14ac:dyDescent="0.2">
      <c r="C87" s="146">
        <f>C86+0.5%</f>
        <v>9.9400000000000002E-2</v>
      </c>
      <c r="D87" s="150">
        <v>6.5242837755705008</v>
      </c>
      <c r="E87" s="150">
        <v>6.5242837755705008</v>
      </c>
      <c r="F87" s="150">
        <v>6.5242837755705008</v>
      </c>
      <c r="G87" s="150">
        <v>6.5242837755705008</v>
      </c>
      <c r="H87" s="150">
        <v>6.5242837755705008</v>
      </c>
    </row>
    <row r="88" spans="3:8" x14ac:dyDescent="0.2">
      <c r="C88" s="146">
        <f>C87+0.5%</f>
        <v>0.10440000000000001</v>
      </c>
      <c r="D88" s="150">
        <v>6.0408001519046808</v>
      </c>
      <c r="E88" s="150">
        <v>6.0408001519046808</v>
      </c>
      <c r="F88" s="150">
        <v>6.0408001519046808</v>
      </c>
      <c r="G88" s="150">
        <v>6.0408001519046808</v>
      </c>
      <c r="H88" s="150">
        <v>6.0408001519046808</v>
      </c>
    </row>
  </sheetData>
  <mergeCells count="1">
    <mergeCell ref="C65:N6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6D9D-3D4D-E847-9A17-46AE1AB4F19A}">
  <dimension ref="B2:K36"/>
  <sheetViews>
    <sheetView showGridLines="0" workbookViewId="0">
      <selection activeCell="K33" sqref="K33"/>
    </sheetView>
  </sheetViews>
  <sheetFormatPr baseColWidth="10" defaultRowHeight="16" x14ac:dyDescent="0.2"/>
  <cols>
    <col min="1" max="2" width="2.83203125" customWidth="1"/>
    <col min="3" max="3" width="42.33203125" bestFit="1" customWidth="1"/>
    <col min="6" max="6" width="16.83203125" bestFit="1" customWidth="1"/>
    <col min="9" max="9" width="16.5" bestFit="1" customWidth="1"/>
  </cols>
  <sheetData>
    <row r="2" spans="2:11" ht="20" x14ac:dyDescent="0.2">
      <c r="B2" s="45" t="s">
        <v>566</v>
      </c>
    </row>
    <row r="3" spans="2:11" x14ac:dyDescent="0.2">
      <c r="C3" s="140"/>
    </row>
    <row r="5" spans="2:11" x14ac:dyDescent="0.2">
      <c r="C5" s="16" t="s">
        <v>567</v>
      </c>
      <c r="D5" s="16"/>
      <c r="E5" s="16"/>
      <c r="F5" s="16"/>
      <c r="G5" s="16"/>
      <c r="H5" s="16"/>
      <c r="I5" s="16"/>
      <c r="J5" s="16"/>
      <c r="K5" s="16"/>
    </row>
    <row r="6" spans="2:11" ht="28" x14ac:dyDescent="0.2">
      <c r="C6" s="141" t="s">
        <v>568</v>
      </c>
      <c r="D6" s="141" t="s">
        <v>569</v>
      </c>
      <c r="E6" s="141" t="s">
        <v>570</v>
      </c>
      <c r="F6" s="141" t="s">
        <v>571</v>
      </c>
      <c r="G6" s="141" t="s">
        <v>572</v>
      </c>
      <c r="H6" s="141" t="s">
        <v>500</v>
      </c>
      <c r="I6" s="141" t="s">
        <v>594</v>
      </c>
      <c r="K6" s="17" t="s">
        <v>573</v>
      </c>
    </row>
    <row r="7" spans="2:11" x14ac:dyDescent="0.2">
      <c r="C7" s="6" t="s">
        <v>412</v>
      </c>
      <c r="D7" s="101">
        <v>19.75</v>
      </c>
      <c r="E7" s="101">
        <v>94.75</v>
      </c>
      <c r="F7" s="120">
        <f>IFERROR(D7*E7,"")</f>
        <v>1871.3125</v>
      </c>
      <c r="G7" s="101">
        <v>724.8</v>
      </c>
      <c r="H7" s="120">
        <f t="shared" ref="H7:H11" si="0">IFERROR(F7+G7,"")</f>
        <v>2596.1125000000002</v>
      </c>
      <c r="I7" s="101">
        <v>184.4</v>
      </c>
      <c r="K7" s="27" t="s">
        <v>592</v>
      </c>
    </row>
    <row r="8" spans="2:11" x14ac:dyDescent="0.2">
      <c r="C8" s="6" t="s">
        <v>413</v>
      </c>
      <c r="D8" s="101">
        <v>24.58</v>
      </c>
      <c r="E8" s="101">
        <v>99.59</v>
      </c>
      <c r="F8" s="120">
        <f t="shared" ref="F8:F11" si="1">IFERROR(D8*E8,"")</f>
        <v>2447.9222</v>
      </c>
      <c r="G8" s="101">
        <v>133.19999999999999</v>
      </c>
      <c r="H8" s="120">
        <f t="shared" si="0"/>
        <v>2581.1221999999998</v>
      </c>
      <c r="I8" s="101">
        <v>65</v>
      </c>
      <c r="K8" s="27" t="s">
        <v>595</v>
      </c>
    </row>
    <row r="9" spans="2:11" x14ac:dyDescent="0.2">
      <c r="C9" s="6" t="s">
        <v>414</v>
      </c>
      <c r="D9" s="101">
        <v>7.91</v>
      </c>
      <c r="E9" s="101">
        <v>210.66</v>
      </c>
      <c r="F9" s="120">
        <f t="shared" si="1"/>
        <v>1666.3206</v>
      </c>
      <c r="G9" s="101">
        <v>1930</v>
      </c>
      <c r="H9" s="120">
        <f t="shared" si="0"/>
        <v>3596.3206</v>
      </c>
      <c r="I9" s="101">
        <v>613</v>
      </c>
    </row>
    <row r="10" spans="2:11" x14ac:dyDescent="0.2">
      <c r="C10" s="6" t="s">
        <v>415</v>
      </c>
      <c r="D10" s="101">
        <v>148.11000000000001</v>
      </c>
      <c r="E10" s="101">
        <v>272.89999999999998</v>
      </c>
      <c r="F10" s="120">
        <f t="shared" si="1"/>
        <v>40419.218999999997</v>
      </c>
      <c r="G10" s="101">
        <v>1248</v>
      </c>
      <c r="H10" s="120">
        <f t="shared" si="0"/>
        <v>41667.218999999997</v>
      </c>
      <c r="I10" s="101">
        <v>2910</v>
      </c>
    </row>
    <row r="11" spans="2:11" x14ac:dyDescent="0.2">
      <c r="C11" s="6" t="s">
        <v>416</v>
      </c>
      <c r="D11" s="101">
        <v>47.59</v>
      </c>
      <c r="E11" s="101">
        <v>342.46</v>
      </c>
      <c r="F11" s="120">
        <f t="shared" si="1"/>
        <v>16297.671400000001</v>
      </c>
      <c r="G11" s="101">
        <v>892</v>
      </c>
      <c r="H11" s="120">
        <f t="shared" si="0"/>
        <v>17189.671399999999</v>
      </c>
      <c r="I11" s="101">
        <v>1880</v>
      </c>
    </row>
    <row r="12" spans="2:11" x14ac:dyDescent="0.2">
      <c r="C12" s="10" t="s">
        <v>574</v>
      </c>
      <c r="D12" s="36">
        <f>WACC!E21</f>
        <v>8.24</v>
      </c>
      <c r="E12" s="34">
        <f>WACC!E22</f>
        <v>118.07692307692307</v>
      </c>
      <c r="F12" s="120">
        <f>D12*E12</f>
        <v>972.95384615384614</v>
      </c>
      <c r="G12" s="32">
        <f>Historicals!H53</f>
        <v>119.6</v>
      </c>
      <c r="H12" s="120">
        <f>F12+G12</f>
        <v>1092.5538461538461</v>
      </c>
      <c r="I12" s="40">
        <f>Model!F80</f>
        <v>153.18369824397257</v>
      </c>
      <c r="K12" s="27" t="s">
        <v>607</v>
      </c>
    </row>
    <row r="13" spans="2:11" x14ac:dyDescent="0.2">
      <c r="C13" s="142" t="s">
        <v>575</v>
      </c>
      <c r="F13" s="120">
        <f>F12</f>
        <v>972.95384615384614</v>
      </c>
      <c r="G13" s="32">
        <f>Historicals!H62</f>
        <v>750.1</v>
      </c>
      <c r="H13" s="120">
        <f>F13+G13</f>
        <v>1723.0538461538463</v>
      </c>
      <c r="I13" s="40">
        <f>Model!F45</f>
        <v>241.57694351489653</v>
      </c>
      <c r="K13" s="27" t="s">
        <v>576</v>
      </c>
    </row>
    <row r="14" spans="2:11" x14ac:dyDescent="0.2">
      <c r="C14" s="113" t="s">
        <v>577</v>
      </c>
    </row>
    <row r="15" spans="2:11" x14ac:dyDescent="0.2">
      <c r="C15" s="10" t="s">
        <v>578</v>
      </c>
    </row>
    <row r="16" spans="2:11" x14ac:dyDescent="0.2">
      <c r="C16" s="143" t="str">
        <f>C7</f>
        <v>Domino's Pizza Enterprises (ASX:DMP)</v>
      </c>
      <c r="D16" s="68">
        <f>IFERROR(H7/I7,"")</f>
        <v>14.078701193058569</v>
      </c>
    </row>
    <row r="17" spans="3:11" x14ac:dyDescent="0.2">
      <c r="C17" s="143" t="str">
        <f>C8</f>
        <v>Guzman y Gomez (ASX:GYG)</v>
      </c>
      <c r="D17" s="68">
        <f>IFERROR(H8/I8,"")</f>
        <v>39.709572307692305</v>
      </c>
    </row>
    <row r="18" spans="3:11" x14ac:dyDescent="0.2">
      <c r="C18" s="143" t="str">
        <f t="shared" ref="C18:C22" si="2">C9</f>
        <v>Arcos Dorados (NYSE:ARCO)</v>
      </c>
      <c r="D18" s="68">
        <f t="shared" ref="D18:D22" si="3">IFERROR(H9/I9,"")</f>
        <v>5.8667546492659053</v>
      </c>
    </row>
    <row r="19" spans="3:11" x14ac:dyDescent="0.2">
      <c r="C19" s="143" t="str">
        <f t="shared" si="2"/>
        <v>Yum! Brands (NYSE:YUM)</v>
      </c>
      <c r="D19" s="68">
        <f t="shared" si="3"/>
        <v>14.318631958762886</v>
      </c>
    </row>
    <row r="20" spans="3:11" x14ac:dyDescent="0.2">
      <c r="C20" s="143" t="str">
        <f t="shared" si="2"/>
        <v>Yum China (NYSE:YUMC)</v>
      </c>
      <c r="D20" s="68">
        <f t="shared" si="3"/>
        <v>9.1434422340425527</v>
      </c>
    </row>
    <row r="21" spans="3:11" x14ac:dyDescent="0.2">
      <c r="C21" s="143" t="str">
        <f t="shared" si="2"/>
        <v>Collins Foods (ASX:CKF)</v>
      </c>
      <c r="D21" s="68">
        <f t="shared" si="3"/>
        <v>7.1323114579317552</v>
      </c>
    </row>
    <row r="22" spans="3:11" x14ac:dyDescent="0.2">
      <c r="C22" s="143" t="str">
        <f t="shared" si="2"/>
        <v>Collins Foods — post-AASB 16 basis</v>
      </c>
      <c r="D22" s="68">
        <f t="shared" si="3"/>
        <v>7.1325260642996602</v>
      </c>
    </row>
    <row r="23" spans="3:11" x14ac:dyDescent="0.2">
      <c r="C23" s="10" t="s">
        <v>579</v>
      </c>
      <c r="D23" s="154">
        <v>8</v>
      </c>
      <c r="K23" s="27" t="s">
        <v>606</v>
      </c>
    </row>
    <row r="25" spans="3:11" x14ac:dyDescent="0.2">
      <c r="C25" s="16" t="s">
        <v>580</v>
      </c>
      <c r="D25" s="16"/>
      <c r="E25" s="16"/>
      <c r="F25" s="16"/>
      <c r="G25" s="16"/>
      <c r="H25" s="16"/>
      <c r="I25" s="16"/>
      <c r="J25" s="16"/>
      <c r="K25" s="16"/>
    </row>
    <row r="26" spans="3:11" x14ac:dyDescent="0.2">
      <c r="C26" s="113" t="s">
        <v>581</v>
      </c>
      <c r="D26" s="19" t="s">
        <v>582</v>
      </c>
      <c r="E26" s="19" t="s">
        <v>583</v>
      </c>
      <c r="F26" s="19" t="s">
        <v>608</v>
      </c>
      <c r="K26" s="17" t="s">
        <v>64</v>
      </c>
    </row>
    <row r="27" spans="3:11" x14ac:dyDescent="0.2">
      <c r="C27" s="6" t="s">
        <v>604</v>
      </c>
      <c r="D27" s="36">
        <f>DCF!D78</f>
        <v>6.2416384675406977</v>
      </c>
      <c r="E27" s="36">
        <f>DCF!H76</f>
        <v>9.3154858351574124</v>
      </c>
      <c r="F27" s="155">
        <f>E27-D27</f>
        <v>3.0738473676167146</v>
      </c>
      <c r="K27" s="27" t="s">
        <v>601</v>
      </c>
    </row>
    <row r="28" spans="3:11" x14ac:dyDescent="0.2">
      <c r="C28" s="6" t="s">
        <v>605</v>
      </c>
      <c r="D28" s="36">
        <f>DCF!D87</f>
        <v>6.5242837755705008</v>
      </c>
      <c r="E28" s="36">
        <f>DCF!H85</f>
        <v>7.7032796469291585</v>
      </c>
      <c r="F28" s="155">
        <f t="shared" ref="F28:F33" si="4">E28-D28</f>
        <v>1.1789958713586577</v>
      </c>
      <c r="K28" s="15" t="s">
        <v>584</v>
      </c>
    </row>
    <row r="29" spans="3:11" x14ac:dyDescent="0.2">
      <c r="C29" s="6" t="s">
        <v>585</v>
      </c>
      <c r="D29" s="110">
        <v>9.6999999999999993</v>
      </c>
      <c r="E29" s="110">
        <v>13.86</v>
      </c>
      <c r="F29" s="155">
        <f t="shared" si="4"/>
        <v>4.16</v>
      </c>
      <c r="K29" s="27" t="s">
        <v>602</v>
      </c>
    </row>
    <row r="30" spans="3:11" x14ac:dyDescent="0.2">
      <c r="C30" s="6" t="s">
        <v>586</v>
      </c>
      <c r="D30" s="153">
        <f>IFERROR((Model!E45*(D23-1)-Historicals!H62)/DCF!$E$46,"")</f>
        <v>8.1422031921824107</v>
      </c>
      <c r="E30" s="153">
        <f>IFERROR((Model!E45*(D23+1)-Historicals!H62)/DCF!$E$46,"")</f>
        <v>12.283586514657982</v>
      </c>
      <c r="F30" s="155">
        <f t="shared" si="4"/>
        <v>4.1413833224755709</v>
      </c>
      <c r="K30" s="15" t="s">
        <v>587</v>
      </c>
    </row>
    <row r="31" spans="3:11" x14ac:dyDescent="0.2">
      <c r="C31" s="6" t="s">
        <v>588</v>
      </c>
      <c r="D31" s="110">
        <v>10.27</v>
      </c>
      <c r="E31" s="110">
        <v>10.27</v>
      </c>
      <c r="F31" s="155">
        <f t="shared" si="4"/>
        <v>0</v>
      </c>
      <c r="K31" s="27" t="s">
        <v>603</v>
      </c>
    </row>
    <row r="32" spans="3:11" x14ac:dyDescent="0.2">
      <c r="C32" s="6" t="s">
        <v>589</v>
      </c>
      <c r="D32" s="110">
        <v>7.7</v>
      </c>
      <c r="E32" s="110">
        <v>11.68</v>
      </c>
      <c r="F32" s="155">
        <f t="shared" si="4"/>
        <v>3.9799999999999995</v>
      </c>
      <c r="K32" s="15" t="s">
        <v>609</v>
      </c>
    </row>
    <row r="33" spans="3:11" x14ac:dyDescent="0.2">
      <c r="C33" s="10" t="s">
        <v>590</v>
      </c>
      <c r="D33" s="144">
        <f>WACC!E21</f>
        <v>8.24</v>
      </c>
      <c r="E33" s="144">
        <f>WACC!E21</f>
        <v>8.24</v>
      </c>
      <c r="F33" s="155">
        <f t="shared" si="4"/>
        <v>0</v>
      </c>
    </row>
    <row r="35" spans="3:11" x14ac:dyDescent="0.2">
      <c r="C35" s="163" t="s">
        <v>591</v>
      </c>
      <c r="D35" s="163"/>
      <c r="E35" s="163"/>
      <c r="F35" s="163"/>
      <c r="G35" s="163"/>
      <c r="H35" s="163"/>
      <c r="I35" s="163"/>
      <c r="J35" s="163"/>
      <c r="K35" s="163"/>
    </row>
    <row r="36" spans="3:11" x14ac:dyDescent="0.2">
      <c r="C36" s="163"/>
      <c r="D36" s="163"/>
      <c r="E36" s="163"/>
      <c r="F36" s="163"/>
      <c r="G36" s="163"/>
      <c r="H36" s="163"/>
      <c r="I36" s="163"/>
      <c r="J36" s="163"/>
      <c r="K36" s="163"/>
    </row>
  </sheetData>
  <mergeCells count="1">
    <mergeCell ref="C35:K3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4ED2-EEAC-7045-87DF-0D7727ECD6C4}">
  <dimension ref="B2:C89"/>
  <sheetViews>
    <sheetView showGridLines="0" topLeftCell="A6" zoomScaleNormal="100" workbookViewId="0">
      <selection activeCell="C31" sqref="C31"/>
    </sheetView>
  </sheetViews>
  <sheetFormatPr baseColWidth="10" defaultColWidth="8.5" defaultRowHeight="16" x14ac:dyDescent="0.2"/>
  <cols>
    <col min="1" max="1" width="3" style="157" customWidth="1"/>
    <col min="2" max="2" width="40" style="157" customWidth="1"/>
    <col min="3" max="3" width="112" style="157" customWidth="1"/>
    <col min="4" max="16384" width="8.5" style="157"/>
  </cols>
  <sheetData>
    <row r="2" spans="2:3" ht="19.5" customHeight="1" x14ac:dyDescent="0.2">
      <c r="B2" s="156" t="s">
        <v>610</v>
      </c>
    </row>
    <row r="3" spans="2:3" ht="15" customHeight="1" x14ac:dyDescent="0.2">
      <c r="B3" s="158" t="s">
        <v>611</v>
      </c>
    </row>
    <row r="5" spans="2:3" ht="15" customHeight="1" x14ac:dyDescent="0.2">
      <c r="B5" s="159" t="s">
        <v>612</v>
      </c>
      <c r="C5" s="159"/>
    </row>
    <row r="6" spans="2:3" ht="25.5" customHeight="1" x14ac:dyDescent="0.2">
      <c r="B6" s="160" t="s">
        <v>568</v>
      </c>
      <c r="C6" s="161" t="s">
        <v>613</v>
      </c>
    </row>
    <row r="7" spans="2:3" ht="15" customHeight="1" x14ac:dyDescent="0.2">
      <c r="B7" s="160" t="s">
        <v>614</v>
      </c>
      <c r="C7" s="161" t="s">
        <v>615</v>
      </c>
    </row>
    <row r="8" spans="2:3" ht="15" customHeight="1" x14ac:dyDescent="0.2">
      <c r="B8" s="160" t="s">
        <v>526</v>
      </c>
      <c r="C8" s="161" t="s">
        <v>616</v>
      </c>
    </row>
    <row r="9" spans="2:3" ht="15" customHeight="1" x14ac:dyDescent="0.2">
      <c r="B9" s="160" t="s">
        <v>617</v>
      </c>
      <c r="C9" s="161" t="s">
        <v>618</v>
      </c>
    </row>
    <row r="10" spans="2:3" ht="15" customHeight="1" x14ac:dyDescent="0.2">
      <c r="B10" s="162" t="s">
        <v>619</v>
      </c>
      <c r="C10" s="162" t="s">
        <v>620</v>
      </c>
    </row>
    <row r="12" spans="2:3" ht="15" customHeight="1" x14ac:dyDescent="0.2">
      <c r="B12" s="159" t="s">
        <v>621</v>
      </c>
      <c r="C12" s="159"/>
    </row>
    <row r="13" spans="2:3" ht="25.5" customHeight="1" x14ac:dyDescent="0.2">
      <c r="B13" s="160" t="s">
        <v>622</v>
      </c>
      <c r="C13" s="161" t="s">
        <v>734</v>
      </c>
    </row>
    <row r="14" spans="2:3" ht="25.5" customHeight="1" x14ac:dyDescent="0.2">
      <c r="B14" s="160" t="s">
        <v>623</v>
      </c>
      <c r="C14" s="161" t="s">
        <v>624</v>
      </c>
    </row>
    <row r="15" spans="2:3" ht="15" customHeight="1" x14ac:dyDescent="0.2">
      <c r="B15" s="160" t="s">
        <v>625</v>
      </c>
      <c r="C15" s="161" t="s">
        <v>626</v>
      </c>
    </row>
    <row r="16" spans="2:3" ht="15" customHeight="1" x14ac:dyDescent="0.2">
      <c r="B16" s="160" t="s">
        <v>627</v>
      </c>
      <c r="C16" s="161" t="s">
        <v>628</v>
      </c>
    </row>
    <row r="17" spans="2:3" ht="15" customHeight="1" x14ac:dyDescent="0.2">
      <c r="B17" s="160" t="s">
        <v>629</v>
      </c>
      <c r="C17" s="161" t="s">
        <v>630</v>
      </c>
    </row>
    <row r="19" spans="2:3" ht="15" customHeight="1" x14ac:dyDescent="0.2">
      <c r="B19" s="159" t="s">
        <v>631</v>
      </c>
      <c r="C19" s="159"/>
    </row>
    <row r="20" spans="2:3" ht="39" customHeight="1" x14ac:dyDescent="0.2">
      <c r="B20" s="160" t="s">
        <v>632</v>
      </c>
      <c r="C20" s="161" t="s">
        <v>633</v>
      </c>
    </row>
    <row r="21" spans="2:3" ht="25.5" customHeight="1" x14ac:dyDescent="0.2">
      <c r="B21" s="160" t="s">
        <v>634</v>
      </c>
      <c r="C21" s="161" t="s">
        <v>635</v>
      </c>
    </row>
    <row r="23" spans="2:3" ht="15" customHeight="1" x14ac:dyDescent="0.2">
      <c r="B23" s="159" t="s">
        <v>636</v>
      </c>
      <c r="C23" s="159"/>
    </row>
    <row r="24" spans="2:3" ht="25.5" customHeight="1" x14ac:dyDescent="0.2">
      <c r="B24" s="160" t="s">
        <v>637</v>
      </c>
      <c r="C24" s="161" t="s">
        <v>638</v>
      </c>
    </row>
    <row r="25" spans="2:3" ht="39" customHeight="1" x14ac:dyDescent="0.2">
      <c r="B25" s="160" t="s">
        <v>639</v>
      </c>
      <c r="C25" s="161" t="s">
        <v>640</v>
      </c>
    </row>
    <row r="27" spans="2:3" ht="15" customHeight="1" x14ac:dyDescent="0.2">
      <c r="B27" s="159" t="s">
        <v>641</v>
      </c>
      <c r="C27" s="159"/>
    </row>
    <row r="28" spans="2:3" ht="39" customHeight="1" x14ac:dyDescent="0.2">
      <c r="B28" s="160" t="s">
        <v>642</v>
      </c>
      <c r="C28" s="161" t="s">
        <v>643</v>
      </c>
    </row>
    <row r="29" spans="2:3" ht="25.5" customHeight="1" x14ac:dyDescent="0.2">
      <c r="B29" s="160" t="s">
        <v>644</v>
      </c>
      <c r="C29" s="161" t="s">
        <v>645</v>
      </c>
    </row>
    <row r="30" spans="2:3" ht="15" customHeight="1" x14ac:dyDescent="0.2">
      <c r="B30" s="160" t="s">
        <v>646</v>
      </c>
      <c r="C30" s="161" t="s">
        <v>647</v>
      </c>
    </row>
    <row r="31" spans="2:3" ht="39" customHeight="1" x14ac:dyDescent="0.2">
      <c r="B31" s="160" t="s">
        <v>648</v>
      </c>
      <c r="C31" s="161" t="s">
        <v>649</v>
      </c>
    </row>
    <row r="32" spans="2:3" ht="25.5" customHeight="1" x14ac:dyDescent="0.2">
      <c r="B32" s="160" t="s">
        <v>650</v>
      </c>
      <c r="C32" s="161" t="s">
        <v>651</v>
      </c>
    </row>
    <row r="34" spans="2:3" ht="15" customHeight="1" x14ac:dyDescent="0.2">
      <c r="B34" s="159" t="s">
        <v>652</v>
      </c>
      <c r="C34" s="159"/>
    </row>
    <row r="35" spans="2:3" ht="15" customHeight="1" x14ac:dyDescent="0.2">
      <c r="B35" s="160" t="s">
        <v>642</v>
      </c>
      <c r="C35" s="161" t="s">
        <v>653</v>
      </c>
    </row>
    <row r="36" spans="2:3" ht="25.5" customHeight="1" x14ac:dyDescent="0.2">
      <c r="B36" s="160" t="s">
        <v>654</v>
      </c>
      <c r="C36" s="161" t="s">
        <v>655</v>
      </c>
    </row>
    <row r="37" spans="2:3" ht="15" customHeight="1" x14ac:dyDescent="0.2">
      <c r="B37" s="160" t="s">
        <v>656</v>
      </c>
      <c r="C37" s="161" t="s">
        <v>657</v>
      </c>
    </row>
    <row r="38" spans="2:3" ht="25.5" customHeight="1" x14ac:dyDescent="0.2">
      <c r="B38" s="160" t="s">
        <v>658</v>
      </c>
      <c r="C38" s="161" t="s">
        <v>659</v>
      </c>
    </row>
    <row r="40" spans="2:3" ht="15" customHeight="1" x14ac:dyDescent="0.2">
      <c r="B40" s="159" t="s">
        <v>660</v>
      </c>
      <c r="C40" s="159"/>
    </row>
    <row r="41" spans="2:3" ht="25.5" customHeight="1" x14ac:dyDescent="0.2">
      <c r="B41" s="160" t="s">
        <v>661</v>
      </c>
      <c r="C41" s="161" t="s">
        <v>662</v>
      </c>
    </row>
    <row r="42" spans="2:3" ht="39" customHeight="1" x14ac:dyDescent="0.2">
      <c r="B42" s="160" t="s">
        <v>663</v>
      </c>
      <c r="C42" s="161" t="s">
        <v>664</v>
      </c>
    </row>
    <row r="43" spans="2:3" ht="25.5" customHeight="1" x14ac:dyDescent="0.2">
      <c r="B43" s="160" t="s">
        <v>665</v>
      </c>
      <c r="C43" s="161" t="s">
        <v>666</v>
      </c>
    </row>
    <row r="44" spans="2:3" ht="51.75" customHeight="1" x14ac:dyDescent="0.2">
      <c r="B44" s="160" t="s">
        <v>667</v>
      </c>
      <c r="C44" s="161" t="s">
        <v>668</v>
      </c>
    </row>
    <row r="46" spans="2:3" ht="15" customHeight="1" x14ac:dyDescent="0.2">
      <c r="B46" s="159" t="s">
        <v>669</v>
      </c>
      <c r="C46" s="159"/>
    </row>
    <row r="47" spans="2:3" ht="15" customHeight="1" x14ac:dyDescent="0.2">
      <c r="B47" s="162" t="s">
        <v>661</v>
      </c>
      <c r="C47" s="162" t="s">
        <v>670</v>
      </c>
    </row>
    <row r="48" spans="2:3" ht="25.5" customHeight="1" x14ac:dyDescent="0.2">
      <c r="B48" s="160" t="s">
        <v>671</v>
      </c>
      <c r="C48" s="161" t="s">
        <v>672</v>
      </c>
    </row>
    <row r="49" spans="2:3" ht="39" customHeight="1" x14ac:dyDescent="0.2">
      <c r="B49" s="160" t="s">
        <v>673</v>
      </c>
      <c r="C49" s="161" t="s">
        <v>674</v>
      </c>
    </row>
    <row r="50" spans="2:3" ht="39" customHeight="1" x14ac:dyDescent="0.2">
      <c r="B50" s="160" t="s">
        <v>675</v>
      </c>
      <c r="C50" s="161" t="s">
        <v>676</v>
      </c>
    </row>
    <row r="51" spans="2:3" ht="25.5" customHeight="1" x14ac:dyDescent="0.2">
      <c r="B51" s="160" t="s">
        <v>677</v>
      </c>
      <c r="C51" s="161" t="s">
        <v>678</v>
      </c>
    </row>
    <row r="53" spans="2:3" ht="15" customHeight="1" x14ac:dyDescent="0.2">
      <c r="B53" s="159" t="s">
        <v>679</v>
      </c>
      <c r="C53" s="159"/>
    </row>
    <row r="54" spans="2:3" ht="25.5" customHeight="1" x14ac:dyDescent="0.2">
      <c r="B54" s="160" t="s">
        <v>680</v>
      </c>
      <c r="C54" s="161" t="s">
        <v>681</v>
      </c>
    </row>
    <row r="55" spans="2:3" ht="39" customHeight="1" x14ac:dyDescent="0.2">
      <c r="B55" s="160" t="s">
        <v>682</v>
      </c>
      <c r="C55" s="161" t="s">
        <v>683</v>
      </c>
    </row>
    <row r="56" spans="2:3" ht="25.5" customHeight="1" x14ac:dyDescent="0.2">
      <c r="B56" s="160" t="s">
        <v>684</v>
      </c>
      <c r="C56" s="161" t="s">
        <v>685</v>
      </c>
    </row>
    <row r="57" spans="2:3" ht="25.5" customHeight="1" x14ac:dyDescent="0.2">
      <c r="B57" s="160" t="s">
        <v>686</v>
      </c>
      <c r="C57" s="161" t="s">
        <v>687</v>
      </c>
    </row>
    <row r="59" spans="2:3" ht="15" customHeight="1" x14ac:dyDescent="0.2">
      <c r="B59" s="159" t="s">
        <v>688</v>
      </c>
      <c r="C59" s="159"/>
    </row>
    <row r="60" spans="2:3" ht="15" customHeight="1" x14ac:dyDescent="0.2">
      <c r="B60" s="160" t="s">
        <v>689</v>
      </c>
      <c r="C60" s="161" t="s">
        <v>690</v>
      </c>
    </row>
    <row r="61" spans="2:3" ht="39" customHeight="1" x14ac:dyDescent="0.2">
      <c r="B61" s="160" t="s">
        <v>691</v>
      </c>
      <c r="C61" s="161" t="s">
        <v>692</v>
      </c>
    </row>
    <row r="62" spans="2:3" ht="25.5" customHeight="1" x14ac:dyDescent="0.2">
      <c r="B62" s="160" t="s">
        <v>693</v>
      </c>
      <c r="C62" s="161" t="s">
        <v>694</v>
      </c>
    </row>
    <row r="64" spans="2:3" ht="15" customHeight="1" x14ac:dyDescent="0.2">
      <c r="B64" s="159" t="s">
        <v>695</v>
      </c>
      <c r="C64" s="159"/>
    </row>
    <row r="65" spans="2:3" ht="25.5" customHeight="1" x14ac:dyDescent="0.2">
      <c r="B65" s="160" t="s">
        <v>696</v>
      </c>
      <c r="C65" s="161" t="s">
        <v>697</v>
      </c>
    </row>
    <row r="66" spans="2:3" ht="15" customHeight="1" x14ac:dyDescent="0.2">
      <c r="B66" s="160" t="s">
        <v>698</v>
      </c>
      <c r="C66" s="161" t="s">
        <v>699</v>
      </c>
    </row>
    <row r="67" spans="2:3" ht="25.5" customHeight="1" x14ac:dyDescent="0.2">
      <c r="B67" s="160" t="s">
        <v>700</v>
      </c>
      <c r="C67" s="161" t="s">
        <v>701</v>
      </c>
    </row>
    <row r="68" spans="2:3" ht="25.5" customHeight="1" x14ac:dyDescent="0.2">
      <c r="B68" s="160" t="s">
        <v>702</v>
      </c>
      <c r="C68" s="161" t="s">
        <v>703</v>
      </c>
    </row>
    <row r="69" spans="2:3" ht="25.5" customHeight="1" x14ac:dyDescent="0.2">
      <c r="B69" s="160" t="s">
        <v>704</v>
      </c>
      <c r="C69" s="161" t="s">
        <v>705</v>
      </c>
    </row>
    <row r="71" spans="2:3" ht="15" customHeight="1" x14ac:dyDescent="0.2">
      <c r="B71" s="159" t="s">
        <v>706</v>
      </c>
      <c r="C71" s="159"/>
    </row>
    <row r="72" spans="2:3" ht="25.5" customHeight="1" x14ac:dyDescent="0.2">
      <c r="B72" s="160" t="s">
        <v>707</v>
      </c>
      <c r="C72" s="161" t="s">
        <v>708</v>
      </c>
    </row>
    <row r="73" spans="2:3" ht="25.5" customHeight="1" x14ac:dyDescent="0.2">
      <c r="B73" s="160" t="s">
        <v>709</v>
      </c>
      <c r="C73" s="161" t="s">
        <v>710</v>
      </c>
    </row>
    <row r="74" spans="2:3" ht="25.5" customHeight="1" x14ac:dyDescent="0.2">
      <c r="B74" s="160" t="s">
        <v>711</v>
      </c>
      <c r="C74" s="161" t="s">
        <v>712</v>
      </c>
    </row>
    <row r="75" spans="2:3" ht="25.5" customHeight="1" x14ac:dyDescent="0.2">
      <c r="B75" s="160" t="s">
        <v>713</v>
      </c>
      <c r="C75" s="161" t="s">
        <v>714</v>
      </c>
    </row>
    <row r="77" spans="2:3" ht="15" customHeight="1" x14ac:dyDescent="0.2">
      <c r="B77" s="159" t="s">
        <v>715</v>
      </c>
      <c r="C77" s="159"/>
    </row>
    <row r="78" spans="2:3" ht="39" customHeight="1" x14ac:dyDescent="0.2">
      <c r="B78" s="160" t="s">
        <v>716</v>
      </c>
      <c r="C78" s="161" t="s">
        <v>717</v>
      </c>
    </row>
    <row r="79" spans="2:3" ht="39" customHeight="1" x14ac:dyDescent="0.2">
      <c r="B79" s="160" t="s">
        <v>718</v>
      </c>
      <c r="C79" s="161" t="s">
        <v>719</v>
      </c>
    </row>
    <row r="80" spans="2:3" ht="25.5" customHeight="1" x14ac:dyDescent="0.2">
      <c r="B80" s="160" t="s">
        <v>720</v>
      </c>
      <c r="C80" s="161" t="s">
        <v>721</v>
      </c>
    </row>
    <row r="81" spans="2:3" ht="25.5" customHeight="1" x14ac:dyDescent="0.2">
      <c r="B81" s="160" t="s">
        <v>722</v>
      </c>
      <c r="C81" s="161" t="s">
        <v>723</v>
      </c>
    </row>
    <row r="82" spans="2:3" ht="25.5" customHeight="1" x14ac:dyDescent="0.2">
      <c r="B82" s="160" t="s">
        <v>724</v>
      </c>
      <c r="C82" s="161" t="s">
        <v>725</v>
      </c>
    </row>
    <row r="84" spans="2:3" ht="15" customHeight="1" x14ac:dyDescent="0.2">
      <c r="B84" s="159" t="s">
        <v>726</v>
      </c>
      <c r="C84" s="159"/>
    </row>
    <row r="85" spans="2:3" ht="39" customHeight="1" x14ac:dyDescent="0.2">
      <c r="B85" s="160" t="s">
        <v>727</v>
      </c>
      <c r="C85" s="161" t="s">
        <v>728</v>
      </c>
    </row>
    <row r="86" spans="2:3" ht="39" customHeight="1" x14ac:dyDescent="0.2">
      <c r="B86" s="160" t="s">
        <v>729</v>
      </c>
      <c r="C86" s="161" t="s">
        <v>730</v>
      </c>
    </row>
    <row r="87" spans="2:3" ht="25.5" customHeight="1" x14ac:dyDescent="0.2">
      <c r="B87" s="160" t="s">
        <v>731</v>
      </c>
      <c r="C87" s="161" t="s">
        <v>732</v>
      </c>
    </row>
    <row r="89" spans="2:3" ht="15" customHeight="1" x14ac:dyDescent="0.2">
      <c r="B89" s="166" t="s">
        <v>733</v>
      </c>
      <c r="C89" s="166"/>
    </row>
  </sheetData>
  <mergeCells count="1">
    <mergeCell ref="B89:C8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Cover</vt:lpstr>
      <vt:lpstr>Control</vt:lpstr>
      <vt:lpstr>Assumptions</vt:lpstr>
      <vt:lpstr>Historicals</vt:lpstr>
      <vt:lpstr>Model</vt:lpstr>
      <vt:lpstr>Capex &amp; PPE</vt:lpstr>
      <vt:lpstr>Debt &amp; Leases</vt:lpstr>
      <vt:lpstr>WACC</vt:lpstr>
      <vt:lpstr>DCF</vt:lpstr>
      <vt:lpstr>Comps</vt:lpstr>
      <vt:lpstr>Notes &amp;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prasad lambor</dc:creator>
  <cp:lastModifiedBy>prasad lambor</cp:lastModifiedBy>
  <dcterms:created xsi:type="dcterms:W3CDTF">2026-08-09T09:56:13Z</dcterms:created>
  <dcterms:modified xsi:type="dcterms:W3CDTF">2026-08-16T11:32:28Z</dcterms:modified>
</cp:coreProperties>
</file>