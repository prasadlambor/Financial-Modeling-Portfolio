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prasadlambor/Library/CloudStorage/GoogleDrive-prasad.lambor@gmail.com/My Drive/Investment Banking/Portfolio_Models/M&amp;A_Fictional/"/>
    </mc:Choice>
  </mc:AlternateContent>
  <xr:revisionPtr revIDLastSave="0" documentId="13_ncr:1_{D02386E6-C23E-4F41-B8AD-7FED0758A22A}" xr6:coauthVersionLast="47" xr6:coauthVersionMax="47" xr10:uidLastSave="{00000000-0000-0000-0000-000000000000}"/>
  <bookViews>
    <workbookView xWindow="18700" yWindow="-21600" windowWidth="38400" windowHeight="21600" activeTab="1" xr2:uid="{1E23E280-87D7-D34C-8214-00605AF78749}"/>
  </bookViews>
  <sheets>
    <sheet name="Cover" sheetId="23" r:id="rId1"/>
    <sheet name="Merger_Model" sheetId="16" r:id="rId2"/>
    <sheet name="Acquirer" sheetId="2" r:id="rId3"/>
    <sheet name="Target" sheetId="13" r:id="rId4"/>
    <sheet name="Synergies" sheetId="17" r:id="rId5"/>
    <sheet name="Combined_BS" sheetId="18" r:id="rId6"/>
    <sheet name="DCF_IRR" sheetId="19" r:id="rId7"/>
    <sheet name="WACC" sheetId="15" r:id="rId8"/>
    <sheet name="Pub_Comps" sheetId="14" r:id="rId9"/>
    <sheet name="MA_Comps" sheetId="20" r:id="rId10"/>
    <sheet name="Contrib" sheetId="21" r:id="rId11"/>
    <sheet name="Value_Creation" sheetId="22" r:id="rId1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60" i="16" l="1"/>
  <c r="I160" i="16"/>
  <c r="J160" i="16"/>
  <c r="K160" i="16"/>
  <c r="G160" i="16"/>
  <c r="H158" i="16"/>
  <c r="I158" i="16"/>
  <c r="J158" i="16"/>
  <c r="K158" i="16"/>
  <c r="G158" i="16"/>
  <c r="E30" i="15"/>
  <c r="E15" i="16"/>
  <c r="E25" i="21" s="1"/>
  <c r="E31" i="22"/>
  <c r="E10" i="22"/>
  <c r="E9" i="22"/>
  <c r="G14" i="22"/>
  <c r="H14" i="22" s="1"/>
  <c r="J14" i="22" s="1"/>
  <c r="G13" i="22"/>
  <c r="H13" i="22" s="1"/>
  <c r="J13" i="22" s="1"/>
  <c r="E24" i="21"/>
  <c r="I16" i="20"/>
  <c r="H16" i="20"/>
  <c r="I15" i="20"/>
  <c r="H15" i="20"/>
  <c r="I14" i="20"/>
  <c r="H14" i="20"/>
  <c r="I13" i="20"/>
  <c r="H13" i="20"/>
  <c r="I12" i="20"/>
  <c r="H12" i="20"/>
  <c r="I11" i="20"/>
  <c r="H11" i="20"/>
  <c r="I10" i="20"/>
  <c r="H10" i="20"/>
  <c r="I9" i="20"/>
  <c r="H9" i="20"/>
  <c r="E91" i="19"/>
  <c r="E90" i="19"/>
  <c r="F32" i="19"/>
  <c r="P52" i="19"/>
  <c r="O52" i="19"/>
  <c r="N52" i="19"/>
  <c r="L52" i="19"/>
  <c r="K52" i="19"/>
  <c r="J52" i="19"/>
  <c r="I52" i="19"/>
  <c r="H52" i="19"/>
  <c r="G52" i="19"/>
  <c r="P43" i="19"/>
  <c r="O43" i="19"/>
  <c r="N43" i="19"/>
  <c r="L43" i="19"/>
  <c r="K165" i="16"/>
  <c r="H157" i="16"/>
  <c r="I157" i="16"/>
  <c r="J157" i="16"/>
  <c r="I161" i="16"/>
  <c r="K161" i="16"/>
  <c r="G156" i="16"/>
  <c r="J151" i="16"/>
  <c r="I123" i="16"/>
  <c r="J123" i="16"/>
  <c r="G123" i="16"/>
  <c r="I112" i="16"/>
  <c r="J112" i="16"/>
  <c r="E17" i="18"/>
  <c r="G28" i="18"/>
  <c r="H25" i="18"/>
  <c r="H17" i="17"/>
  <c r="I17" i="17"/>
  <c r="J17" i="17"/>
  <c r="K17" i="17"/>
  <c r="G17" i="17"/>
  <c r="F33" i="2"/>
  <c r="F178" i="16"/>
  <c r="F89" i="16"/>
  <c r="F114" i="2" s="1"/>
  <c r="G89" i="16"/>
  <c r="H89" i="16" s="1"/>
  <c r="I89" i="16" s="1"/>
  <c r="J89" i="16" s="1"/>
  <c r="K89" i="16" s="1"/>
  <c r="K114" i="13" s="1"/>
  <c r="E39" i="16"/>
  <c r="E16" i="16"/>
  <c r="K66" i="16"/>
  <c r="E50" i="16"/>
  <c r="K173" i="16" s="1"/>
  <c r="K162" i="16" s="1"/>
  <c r="E49" i="16"/>
  <c r="K121" i="16" s="1"/>
  <c r="F36" i="15"/>
  <c r="E36" i="15"/>
  <c r="E37" i="15" s="1"/>
  <c r="F32" i="15"/>
  <c r="E32" i="15"/>
  <c r="E29" i="15"/>
  <c r="F37" i="15"/>
  <c r="F21" i="15"/>
  <c r="F18" i="15"/>
  <c r="F17" i="15"/>
  <c r="F16" i="15"/>
  <c r="F15" i="15"/>
  <c r="F13" i="15"/>
  <c r="E22" i="15"/>
  <c r="E21" i="15"/>
  <c r="E20" i="15"/>
  <c r="E19" i="15"/>
  <c r="E18" i="15"/>
  <c r="E17" i="15"/>
  <c r="E16" i="15"/>
  <c r="G16" i="15" s="1"/>
  <c r="H16" i="15" s="1"/>
  <c r="E15" i="15"/>
  <c r="E14" i="15"/>
  <c r="E13" i="15"/>
  <c r="G13" i="15" s="1"/>
  <c r="D24" i="15"/>
  <c r="D20" i="14"/>
  <c r="D19" i="14"/>
  <c r="N18" i="14"/>
  <c r="F18" i="14"/>
  <c r="I18" i="14" s="1"/>
  <c r="Q17" i="14"/>
  <c r="P17" i="14"/>
  <c r="O17" i="14"/>
  <c r="N17" i="14"/>
  <c r="I17" i="14"/>
  <c r="F17" i="14"/>
  <c r="N16" i="14"/>
  <c r="F16" i="14"/>
  <c r="I16" i="14" s="1"/>
  <c r="N15" i="14"/>
  <c r="I15" i="14"/>
  <c r="F15" i="14"/>
  <c r="F19" i="15" s="1"/>
  <c r="N14" i="14"/>
  <c r="F14" i="14"/>
  <c r="I14" i="14" s="1"/>
  <c r="N13" i="14"/>
  <c r="F13" i="14"/>
  <c r="I13" i="14" s="1"/>
  <c r="O12" i="14"/>
  <c r="N12" i="14"/>
  <c r="I12" i="14"/>
  <c r="F12" i="14"/>
  <c r="N11" i="14"/>
  <c r="F11" i="14"/>
  <c r="I11" i="14" s="1"/>
  <c r="N10" i="14"/>
  <c r="I10" i="14"/>
  <c r="F10" i="14"/>
  <c r="F14" i="15" s="1"/>
  <c r="N9" i="14"/>
  <c r="F9" i="14"/>
  <c r="I9" i="14" s="1"/>
  <c r="E78" i="2"/>
  <c r="E73" i="2"/>
  <c r="E72" i="2"/>
  <c r="E71" i="2"/>
  <c r="E69" i="2"/>
  <c r="E67" i="2"/>
  <c r="E66" i="2"/>
  <c r="K99" i="13"/>
  <c r="K155" i="13" s="1"/>
  <c r="K191" i="13" s="1"/>
  <c r="J99" i="13"/>
  <c r="J155" i="13" s="1"/>
  <c r="J191" i="13" s="1"/>
  <c r="I99" i="13"/>
  <c r="H99" i="13"/>
  <c r="H155" i="13" s="1"/>
  <c r="H191" i="13" s="1"/>
  <c r="G99" i="13"/>
  <c r="F99" i="13"/>
  <c r="G99" i="2"/>
  <c r="G114" i="16" s="1"/>
  <c r="H99" i="2"/>
  <c r="H155" i="2" s="1"/>
  <c r="H191" i="2" s="1"/>
  <c r="I99" i="2"/>
  <c r="J99" i="2"/>
  <c r="K99" i="2"/>
  <c r="K114" i="16" s="1"/>
  <c r="F99" i="2"/>
  <c r="G98" i="2"/>
  <c r="G112" i="16" s="1"/>
  <c r="H98" i="2"/>
  <c r="I98" i="2"/>
  <c r="J98" i="2"/>
  <c r="K98" i="2"/>
  <c r="F98" i="2"/>
  <c r="G98" i="13"/>
  <c r="H98" i="13"/>
  <c r="H112" i="16" s="1"/>
  <c r="I98" i="13"/>
  <c r="J98" i="13"/>
  <c r="K98" i="13"/>
  <c r="K112" i="16" s="1"/>
  <c r="F98" i="13"/>
  <c r="G158" i="2"/>
  <c r="H158" i="2"/>
  <c r="H151" i="16" s="1"/>
  <c r="I158" i="2"/>
  <c r="J158" i="2"/>
  <c r="K158" i="2"/>
  <c r="K151" i="16" s="1"/>
  <c r="F158" i="2"/>
  <c r="F138" i="2" s="1"/>
  <c r="G138" i="2" s="1"/>
  <c r="H138" i="2" s="1"/>
  <c r="I138" i="2" s="1"/>
  <c r="J138" i="2" s="1"/>
  <c r="G158" i="13"/>
  <c r="G151" i="16" s="1"/>
  <c r="H158" i="13"/>
  <c r="I158" i="13"/>
  <c r="I151" i="16" s="1"/>
  <c r="J158" i="13"/>
  <c r="K158" i="13"/>
  <c r="F158" i="13"/>
  <c r="F76" i="13"/>
  <c r="E73" i="13"/>
  <c r="E72" i="13"/>
  <c r="E71" i="13"/>
  <c r="E69" i="13"/>
  <c r="E67" i="13"/>
  <c r="E66" i="13"/>
  <c r="E56" i="13"/>
  <c r="E153" i="2"/>
  <c r="E190" i="2" s="1"/>
  <c r="E152" i="2"/>
  <c r="E189" i="2" s="1"/>
  <c r="E153" i="13"/>
  <c r="E190" i="13" s="1"/>
  <c r="E152" i="13"/>
  <c r="E78" i="13"/>
  <c r="E42" i="13"/>
  <c r="E191" i="13"/>
  <c r="E189" i="13"/>
  <c r="E179" i="13"/>
  <c r="K178" i="13"/>
  <c r="J178" i="13"/>
  <c r="I178" i="13"/>
  <c r="H178" i="13"/>
  <c r="G178" i="13"/>
  <c r="F178" i="13"/>
  <c r="K177" i="13"/>
  <c r="K164" i="16" s="1"/>
  <c r="J177" i="13"/>
  <c r="I177" i="13"/>
  <c r="H177" i="13"/>
  <c r="H164" i="16" s="1"/>
  <c r="G177" i="13"/>
  <c r="F177" i="13"/>
  <c r="K176" i="13"/>
  <c r="J176" i="13"/>
  <c r="I176" i="13"/>
  <c r="H176" i="13"/>
  <c r="G176" i="13"/>
  <c r="G163" i="16" s="1"/>
  <c r="F176" i="13"/>
  <c r="K175" i="13"/>
  <c r="J175" i="13"/>
  <c r="I175" i="13"/>
  <c r="H175" i="13"/>
  <c r="G175" i="13"/>
  <c r="F175" i="13"/>
  <c r="K174" i="13"/>
  <c r="J174" i="13"/>
  <c r="I174" i="13"/>
  <c r="H174" i="13"/>
  <c r="G174" i="13"/>
  <c r="F174" i="13"/>
  <c r="E172" i="13"/>
  <c r="K171" i="13"/>
  <c r="K157" i="16" s="1"/>
  <c r="J171" i="13"/>
  <c r="I171" i="13"/>
  <c r="H171" i="13"/>
  <c r="G171" i="13"/>
  <c r="F171" i="13"/>
  <c r="F123" i="13" s="1"/>
  <c r="E76" i="16" s="1"/>
  <c r="K170" i="13"/>
  <c r="K156" i="16" s="1"/>
  <c r="J170" i="13"/>
  <c r="I170" i="13"/>
  <c r="H170" i="13"/>
  <c r="G170" i="13"/>
  <c r="F170" i="13"/>
  <c r="E166" i="13"/>
  <c r="I155" i="13"/>
  <c r="I191" i="13" s="1"/>
  <c r="K154" i="13"/>
  <c r="J154" i="13"/>
  <c r="I154" i="13"/>
  <c r="H154" i="13"/>
  <c r="G154" i="13"/>
  <c r="F154" i="13"/>
  <c r="F138" i="13"/>
  <c r="E139" i="13"/>
  <c r="E133" i="13"/>
  <c r="E126" i="13"/>
  <c r="G125" i="13"/>
  <c r="H125" i="13" s="1"/>
  <c r="I125" i="13" s="1"/>
  <c r="J125" i="13" s="1"/>
  <c r="K125" i="13" s="1"/>
  <c r="F125" i="13"/>
  <c r="F17" i="18" s="1"/>
  <c r="E119" i="13"/>
  <c r="K105" i="13"/>
  <c r="J105" i="13"/>
  <c r="I105" i="13"/>
  <c r="H105" i="13"/>
  <c r="G105" i="13"/>
  <c r="F105" i="13"/>
  <c r="E100" i="13"/>
  <c r="G155" i="13"/>
  <c r="G191" i="13" s="1"/>
  <c r="F155" i="13"/>
  <c r="F191" i="13" s="1"/>
  <c r="E90" i="13"/>
  <c r="E194" i="13" s="1"/>
  <c r="F89" i="13"/>
  <c r="F88" i="13"/>
  <c r="G88" i="13" s="1"/>
  <c r="H88" i="13" s="1"/>
  <c r="I88" i="13" s="1"/>
  <c r="J88" i="13" s="1"/>
  <c r="K88" i="13" s="1"/>
  <c r="F87" i="13"/>
  <c r="G87" i="13" s="1"/>
  <c r="H87" i="13" s="1"/>
  <c r="I87" i="13" s="1"/>
  <c r="J87" i="13" s="1"/>
  <c r="K87" i="13" s="1"/>
  <c r="F86" i="13"/>
  <c r="G86" i="13" s="1"/>
  <c r="H86" i="13" s="1"/>
  <c r="I86" i="13" s="1"/>
  <c r="J86" i="13" s="1"/>
  <c r="K86" i="13" s="1"/>
  <c r="F85" i="13"/>
  <c r="G85" i="13" s="1"/>
  <c r="G26" i="17" s="1"/>
  <c r="E63" i="13"/>
  <c r="E62" i="13"/>
  <c r="E59" i="13"/>
  <c r="E57" i="13"/>
  <c r="E46" i="13"/>
  <c r="F46" i="13" s="1"/>
  <c r="G46" i="13" s="1"/>
  <c r="R20" i="13"/>
  <c r="E19" i="13"/>
  <c r="E18" i="13"/>
  <c r="T17" i="13"/>
  <c r="T16" i="13"/>
  <c r="E19" i="2"/>
  <c r="F29" i="15" s="1"/>
  <c r="E18" i="2"/>
  <c r="G178" i="2"/>
  <c r="G165" i="16" s="1"/>
  <c r="H178" i="2"/>
  <c r="H165" i="16" s="1"/>
  <c r="I178" i="2"/>
  <c r="I165" i="16" s="1"/>
  <c r="J178" i="2"/>
  <c r="J165" i="16" s="1"/>
  <c r="K178" i="2"/>
  <c r="F178" i="2"/>
  <c r="G176" i="2"/>
  <c r="H176" i="2"/>
  <c r="I176" i="2"/>
  <c r="I163" i="16" s="1"/>
  <c r="J176" i="2"/>
  <c r="J163" i="16" s="1"/>
  <c r="K176" i="2"/>
  <c r="K163" i="16" s="1"/>
  <c r="F176" i="2"/>
  <c r="G177" i="2"/>
  <c r="G164" i="16" s="1"/>
  <c r="H177" i="2"/>
  <c r="I177" i="2"/>
  <c r="I164" i="16" s="1"/>
  <c r="J177" i="2"/>
  <c r="J164" i="16" s="1"/>
  <c r="K177" i="2"/>
  <c r="F177" i="2"/>
  <c r="F104" i="2"/>
  <c r="G175" i="2"/>
  <c r="G161" i="16" s="1"/>
  <c r="H175" i="2"/>
  <c r="H161" i="16" s="1"/>
  <c r="I175" i="2"/>
  <c r="J175" i="2"/>
  <c r="J161" i="16" s="1"/>
  <c r="K175" i="2"/>
  <c r="F175" i="2"/>
  <c r="G154" i="2"/>
  <c r="H154" i="2"/>
  <c r="I154" i="2"/>
  <c r="J154" i="2"/>
  <c r="K154" i="2"/>
  <c r="F154" i="2"/>
  <c r="F135" i="2" s="1"/>
  <c r="G125" i="2"/>
  <c r="H125" i="2" s="1"/>
  <c r="I125" i="2" s="1"/>
  <c r="J125" i="2" s="1"/>
  <c r="K125" i="2" s="1"/>
  <c r="F125" i="2"/>
  <c r="F123" i="2"/>
  <c r="E15" i="18" s="1"/>
  <c r="G174" i="2"/>
  <c r="H174" i="2"/>
  <c r="I174" i="2"/>
  <c r="J174" i="2"/>
  <c r="K174" i="2"/>
  <c r="F174" i="2"/>
  <c r="G170" i="2"/>
  <c r="H170" i="2"/>
  <c r="H156" i="16" s="1"/>
  <c r="I170" i="2"/>
  <c r="I156" i="16" s="1"/>
  <c r="J170" i="2"/>
  <c r="J156" i="16" s="1"/>
  <c r="K170" i="2"/>
  <c r="G171" i="2"/>
  <c r="H171" i="2"/>
  <c r="I171" i="2"/>
  <c r="J171" i="2"/>
  <c r="K171" i="2"/>
  <c r="F171" i="2"/>
  <c r="F170" i="2"/>
  <c r="G155" i="2"/>
  <c r="G191" i="2" s="1"/>
  <c r="K155" i="2"/>
  <c r="K191" i="2" s="1"/>
  <c r="G105" i="2"/>
  <c r="H105" i="2"/>
  <c r="H123" i="16" s="1"/>
  <c r="I105" i="2"/>
  <c r="J105" i="2"/>
  <c r="K105" i="2"/>
  <c r="K123" i="16" s="1"/>
  <c r="E63" i="2"/>
  <c r="E62" i="2"/>
  <c r="F155" i="2"/>
  <c r="E59" i="2"/>
  <c r="E57" i="2"/>
  <c r="F105" i="2"/>
  <c r="E49" i="2"/>
  <c r="E46" i="2"/>
  <c r="F46" i="2" s="1"/>
  <c r="E100" i="2"/>
  <c r="E179" i="2"/>
  <c r="H179" i="2"/>
  <c r="E172" i="2"/>
  <c r="E166" i="2"/>
  <c r="E191" i="2"/>
  <c r="E133" i="2"/>
  <c r="E136" i="2"/>
  <c r="E139" i="2" s="1"/>
  <c r="F86" i="2"/>
  <c r="G86" i="2" s="1"/>
  <c r="H86" i="2" s="1"/>
  <c r="I86" i="2" s="1"/>
  <c r="J86" i="2" s="1"/>
  <c r="K86" i="2" s="1"/>
  <c r="F87" i="2"/>
  <c r="F88" i="2"/>
  <c r="G88" i="2" s="1"/>
  <c r="H88" i="2" s="1"/>
  <c r="I88" i="2" s="1"/>
  <c r="J88" i="2" s="1"/>
  <c r="K88" i="2" s="1"/>
  <c r="F89" i="2"/>
  <c r="G89" i="2" s="1"/>
  <c r="H89" i="2" s="1"/>
  <c r="I89" i="2" s="1"/>
  <c r="J89" i="2" s="1"/>
  <c r="K89" i="2" s="1"/>
  <c r="F85" i="2"/>
  <c r="G85" i="2" s="1"/>
  <c r="H85" i="2" s="1"/>
  <c r="I85" i="2" s="1"/>
  <c r="J85" i="2" s="1"/>
  <c r="K85" i="2" s="1"/>
  <c r="E90" i="2"/>
  <c r="E45" i="2" s="1"/>
  <c r="T16" i="2"/>
  <c r="R20" i="2"/>
  <c r="T17" i="2"/>
  <c r="K166" i="16" l="1"/>
  <c r="P10" i="14"/>
  <c r="O10" i="14"/>
  <c r="Q10" i="14"/>
  <c r="J114" i="16"/>
  <c r="J155" i="2"/>
  <c r="J191" i="2" s="1"/>
  <c r="I155" i="2"/>
  <c r="I191" i="2" s="1"/>
  <c r="I114" i="16"/>
  <c r="G17" i="15"/>
  <c r="H17" i="15" s="1"/>
  <c r="G135" i="2"/>
  <c r="E27" i="18"/>
  <c r="E36" i="16"/>
  <c r="E31" i="18"/>
  <c r="F103" i="2"/>
  <c r="F179" i="13"/>
  <c r="H46" i="13"/>
  <c r="H9" i="17" s="1"/>
  <c r="H10" i="17" s="1"/>
  <c r="G9" i="17"/>
  <c r="G10" i="17" s="1"/>
  <c r="G95" i="13"/>
  <c r="P15" i="14"/>
  <c r="Q15" i="14"/>
  <c r="F191" i="2"/>
  <c r="G157" i="16"/>
  <c r="H163" i="16"/>
  <c r="F95" i="13"/>
  <c r="F122" i="13" s="1"/>
  <c r="F14" i="18" s="1"/>
  <c r="Q12" i="14"/>
  <c r="P12" i="14"/>
  <c r="O15" i="14"/>
  <c r="F15" i="18"/>
  <c r="G15" i="18"/>
  <c r="G123" i="2"/>
  <c r="H123" i="2" s="1"/>
  <c r="I123" i="2" s="1"/>
  <c r="J123" i="2" s="1"/>
  <c r="K123" i="2" s="1"/>
  <c r="T20" i="13"/>
  <c r="E14" i="13" s="1"/>
  <c r="E15" i="13" s="1"/>
  <c r="H19" i="14"/>
  <c r="G15" i="15"/>
  <c r="H15" i="15" s="1"/>
  <c r="E55" i="2"/>
  <c r="G21" i="15"/>
  <c r="H21" i="15" s="1"/>
  <c r="E194" i="2"/>
  <c r="F22" i="15"/>
  <c r="G22" i="15" s="1"/>
  <c r="H22" i="15" s="1"/>
  <c r="J32" i="19"/>
  <c r="H114" i="16"/>
  <c r="K32" i="19"/>
  <c r="L32" i="19" s="1"/>
  <c r="N32" i="19" s="1"/>
  <c r="O32" i="19" s="1"/>
  <c r="P32" i="19" s="1"/>
  <c r="H19" i="20"/>
  <c r="E128" i="13"/>
  <c r="K179" i="13"/>
  <c r="G14" i="15"/>
  <c r="H14" i="15" s="1"/>
  <c r="I19" i="20"/>
  <c r="G18" i="15"/>
  <c r="H18" i="15" s="1"/>
  <c r="E50" i="2"/>
  <c r="E61" i="2"/>
  <c r="G19" i="15"/>
  <c r="H19" i="15" s="1"/>
  <c r="G32" i="19"/>
  <c r="I22" i="20"/>
  <c r="H23" i="20"/>
  <c r="E65" i="2"/>
  <c r="G138" i="13"/>
  <c r="H138" i="13" s="1"/>
  <c r="I138" i="13" s="1"/>
  <c r="J138" i="13" s="1"/>
  <c r="F20" i="15"/>
  <c r="G20" i="15" s="1"/>
  <c r="H20" i="15" s="1"/>
  <c r="F31" i="18"/>
  <c r="H32" i="19"/>
  <c r="I32" i="19"/>
  <c r="E10" i="23"/>
  <c r="J15" i="22"/>
  <c r="E24" i="22" s="1"/>
  <c r="H20" i="20"/>
  <c r="I20" i="20"/>
  <c r="H21" i="20"/>
  <c r="I21" i="20"/>
  <c r="H22" i="20"/>
  <c r="I23" i="20"/>
  <c r="E17" i="16"/>
  <c r="G93" i="16"/>
  <c r="G27" i="17"/>
  <c r="G98" i="16" s="1"/>
  <c r="F114" i="13"/>
  <c r="F187" i="13"/>
  <c r="E89" i="16"/>
  <c r="E33" i="13" s="1"/>
  <c r="F82" i="13"/>
  <c r="F150" i="13"/>
  <c r="F142" i="16"/>
  <c r="F150" i="2"/>
  <c r="F187" i="2"/>
  <c r="F82" i="2"/>
  <c r="F33" i="13"/>
  <c r="G33" i="2"/>
  <c r="J82" i="2"/>
  <c r="E178" i="16"/>
  <c r="H142" i="16"/>
  <c r="K33" i="2"/>
  <c r="G114" i="2"/>
  <c r="J150" i="2"/>
  <c r="I82" i="13"/>
  <c r="H187" i="13"/>
  <c r="K21" i="17"/>
  <c r="K47" i="17"/>
  <c r="J121" i="16"/>
  <c r="K178" i="16"/>
  <c r="I142" i="16"/>
  <c r="H114" i="2"/>
  <c r="K150" i="2"/>
  <c r="G33" i="13"/>
  <c r="J82" i="13"/>
  <c r="I187" i="13"/>
  <c r="G6" i="17"/>
  <c r="G32" i="17"/>
  <c r="I121" i="16"/>
  <c r="J178" i="16"/>
  <c r="J142" i="16"/>
  <c r="I114" i="2"/>
  <c r="H33" i="13"/>
  <c r="K82" i="13"/>
  <c r="G150" i="13"/>
  <c r="J187" i="13"/>
  <c r="H6" i="17"/>
  <c r="H32" i="17"/>
  <c r="H121" i="16"/>
  <c r="I178" i="16"/>
  <c r="K142" i="16"/>
  <c r="G82" i="2"/>
  <c r="J114" i="2"/>
  <c r="I33" i="13"/>
  <c r="H150" i="13"/>
  <c r="K187" i="13"/>
  <c r="I6" i="17"/>
  <c r="I32" i="17"/>
  <c r="H178" i="16"/>
  <c r="E33" i="2"/>
  <c r="H82" i="2"/>
  <c r="K114" i="2"/>
  <c r="G187" i="2"/>
  <c r="J33" i="13"/>
  <c r="I150" i="13"/>
  <c r="J6" i="17"/>
  <c r="J32" i="17"/>
  <c r="G178" i="16"/>
  <c r="I82" i="2"/>
  <c r="H187" i="2"/>
  <c r="K33" i="13"/>
  <c r="G114" i="13"/>
  <c r="J150" i="13"/>
  <c r="K6" i="17"/>
  <c r="K32" i="17"/>
  <c r="H28" i="18"/>
  <c r="I28" i="18" s="1"/>
  <c r="K150" i="13"/>
  <c r="G21" i="17"/>
  <c r="G47" i="17"/>
  <c r="H33" i="2"/>
  <c r="K82" i="2"/>
  <c r="G150" i="2"/>
  <c r="J187" i="2"/>
  <c r="I114" i="13"/>
  <c r="H21" i="17"/>
  <c r="H47" i="17"/>
  <c r="I33" i="2"/>
  <c r="E114" i="2"/>
  <c r="H150" i="2"/>
  <c r="K187" i="2"/>
  <c r="G82" i="13"/>
  <c r="J114" i="13"/>
  <c r="I21" i="17"/>
  <c r="I47" i="17"/>
  <c r="I187" i="2"/>
  <c r="H114" i="13"/>
  <c r="E19" i="16"/>
  <c r="G142" i="16"/>
  <c r="J33" i="2"/>
  <c r="I150" i="2"/>
  <c r="H82" i="13"/>
  <c r="G187" i="13"/>
  <c r="J21" i="17"/>
  <c r="J47" i="17"/>
  <c r="G31" i="18"/>
  <c r="I31" i="18" s="1"/>
  <c r="G17" i="18"/>
  <c r="I17" i="18" s="1"/>
  <c r="G121" i="16"/>
  <c r="G172" i="16"/>
  <c r="G173" i="16"/>
  <c r="G162" i="16" s="1"/>
  <c r="G166" i="16" s="1"/>
  <c r="E64" i="16"/>
  <c r="H173" i="16"/>
  <c r="H162" i="16" s="1"/>
  <c r="H166" i="16" s="1"/>
  <c r="I173" i="16"/>
  <c r="I162" i="16" s="1"/>
  <c r="I166" i="16" s="1"/>
  <c r="J173" i="16"/>
  <c r="J162" i="16" s="1"/>
  <c r="J166" i="16" s="1"/>
  <c r="H13" i="15"/>
  <c r="H24" i="15" s="1"/>
  <c r="G24" i="15"/>
  <c r="O18" i="14"/>
  <c r="Q18" i="14"/>
  <c r="P18" i="14"/>
  <c r="O13" i="14"/>
  <c r="Q13" i="14"/>
  <c r="P13" i="14"/>
  <c r="Q16" i="14"/>
  <c r="P16" i="14"/>
  <c r="O16" i="14"/>
  <c r="Q11" i="14"/>
  <c r="P11" i="14"/>
  <c r="O11" i="14"/>
  <c r="Q14" i="14"/>
  <c r="P14" i="14"/>
  <c r="O14" i="14"/>
  <c r="P9" i="14"/>
  <c r="Q9" i="14"/>
  <c r="O9" i="14"/>
  <c r="F95" i="2"/>
  <c r="F132" i="2" s="1"/>
  <c r="E24" i="18" s="1"/>
  <c r="G46" i="2"/>
  <c r="G13" i="17" s="1"/>
  <c r="G14" i="17" s="1"/>
  <c r="G16" i="17" s="1"/>
  <c r="G18" i="17" s="1"/>
  <c r="G107" i="16" s="1"/>
  <c r="K138" i="2"/>
  <c r="G179" i="13"/>
  <c r="J179" i="13"/>
  <c r="F135" i="13"/>
  <c r="I179" i="13"/>
  <c r="H179" i="13"/>
  <c r="K138" i="13"/>
  <c r="G123" i="13"/>
  <c r="H123" i="13" s="1"/>
  <c r="I123" i="13" s="1"/>
  <c r="J123" i="13" s="1"/>
  <c r="K123" i="13" s="1"/>
  <c r="F164" i="2"/>
  <c r="F122" i="2"/>
  <c r="E14" i="18" s="1"/>
  <c r="G14" i="18" s="1"/>
  <c r="I14" i="18" s="1"/>
  <c r="H95" i="13"/>
  <c r="H105" i="16" s="1"/>
  <c r="E55" i="13"/>
  <c r="E61" i="13"/>
  <c r="E45" i="13"/>
  <c r="E201" i="13"/>
  <c r="E65" i="13"/>
  <c r="E49" i="13"/>
  <c r="E50" i="13"/>
  <c r="F90" i="13"/>
  <c r="G135" i="13"/>
  <c r="H76" i="13" s="1"/>
  <c r="F103" i="13"/>
  <c r="E141" i="13"/>
  <c r="E145" i="13" s="1"/>
  <c r="E147" i="13" s="1"/>
  <c r="E110" i="13"/>
  <c r="I110" i="13"/>
  <c r="K110" i="13"/>
  <c r="J110" i="13"/>
  <c r="H110" i="13"/>
  <c r="G110" i="13"/>
  <c r="E17" i="13"/>
  <c r="F110" i="13"/>
  <c r="F156" i="13"/>
  <c r="G89" i="13"/>
  <c r="H89" i="13" s="1"/>
  <c r="I89" i="13" s="1"/>
  <c r="J89" i="13" s="1"/>
  <c r="K89" i="13" s="1"/>
  <c r="F132" i="13"/>
  <c r="F136" i="13"/>
  <c r="F162" i="13"/>
  <c r="G132" i="13"/>
  <c r="E202" i="13"/>
  <c r="H85" i="13"/>
  <c r="H26" i="17" s="1"/>
  <c r="H93" i="16" s="1"/>
  <c r="K179" i="2"/>
  <c r="J179" i="2"/>
  <c r="F179" i="2"/>
  <c r="E202" i="2"/>
  <c r="G179" i="2"/>
  <c r="I179" i="2"/>
  <c r="E126" i="2"/>
  <c r="E201" i="2"/>
  <c r="E141" i="2"/>
  <c r="E145" i="2" s="1"/>
  <c r="F90" i="2"/>
  <c r="G87" i="2"/>
  <c r="H87" i="2" s="1"/>
  <c r="I87" i="2" s="1"/>
  <c r="J87" i="2" s="1"/>
  <c r="K87" i="2" s="1"/>
  <c r="H90" i="2"/>
  <c r="T20" i="2"/>
  <c r="E14" i="2" s="1"/>
  <c r="E15" i="2" s="1"/>
  <c r="F164" i="13" l="1"/>
  <c r="F24" i="18"/>
  <c r="H135" i="2"/>
  <c r="G103" i="2"/>
  <c r="H27" i="17"/>
  <c r="H98" i="16" s="1"/>
  <c r="E24" i="13"/>
  <c r="E8" i="21"/>
  <c r="F169" i="13"/>
  <c r="F46" i="19" s="1"/>
  <c r="F33" i="19"/>
  <c r="J20" i="14"/>
  <c r="I46" i="13"/>
  <c r="I9" i="17" s="1"/>
  <c r="I10" i="17" s="1"/>
  <c r="E142" i="16"/>
  <c r="H28" i="17"/>
  <c r="H106" i="16" s="1"/>
  <c r="E114" i="13"/>
  <c r="G122" i="13"/>
  <c r="G136" i="13" s="1"/>
  <c r="G165" i="13" s="1"/>
  <c r="G105" i="16"/>
  <c r="G24" i="18"/>
  <c r="I24" i="18" s="1"/>
  <c r="H97" i="2"/>
  <c r="H117" i="2"/>
  <c r="H91" i="16"/>
  <c r="D10" i="21"/>
  <c r="H96" i="2"/>
  <c r="H156" i="2"/>
  <c r="H169" i="2"/>
  <c r="F165" i="13"/>
  <c r="F29" i="18"/>
  <c r="E24" i="19"/>
  <c r="G24" i="19" s="1"/>
  <c r="F10" i="22"/>
  <c r="G10" i="22" s="1"/>
  <c r="E20" i="14"/>
  <c r="F20" i="14" s="1"/>
  <c r="H128" i="16"/>
  <c r="I128" i="16"/>
  <c r="G128" i="16"/>
  <c r="F9" i="22"/>
  <c r="G9" i="22" s="1"/>
  <c r="E19" i="14"/>
  <c r="F19" i="14" s="1"/>
  <c r="J128" i="16"/>
  <c r="K128" i="16"/>
  <c r="F156" i="2"/>
  <c r="F194" i="2"/>
  <c r="F97" i="2"/>
  <c r="F153" i="2" s="1"/>
  <c r="F117" i="2"/>
  <c r="F169" i="2"/>
  <c r="F96" i="2"/>
  <c r="J19" i="14"/>
  <c r="E150" i="2"/>
  <c r="F96" i="13"/>
  <c r="F152" i="13" s="1"/>
  <c r="F41" i="19" s="1"/>
  <c r="G162" i="13"/>
  <c r="E21" i="16"/>
  <c r="E21" i="19"/>
  <c r="G21" i="19" s="1"/>
  <c r="F27" i="18"/>
  <c r="G76" i="13"/>
  <c r="G103" i="13" s="1"/>
  <c r="H20" i="14"/>
  <c r="G27" i="18"/>
  <c r="E26" i="21"/>
  <c r="E11" i="23"/>
  <c r="E82" i="2"/>
  <c r="E187" i="13"/>
  <c r="E187" i="2"/>
  <c r="E150" i="13"/>
  <c r="E82" i="13"/>
  <c r="G174" i="16"/>
  <c r="G175" i="16" s="1"/>
  <c r="E27" i="22" s="1"/>
  <c r="G119" i="16"/>
  <c r="F28" i="15"/>
  <c r="E28" i="15"/>
  <c r="G95" i="2"/>
  <c r="G104" i="16" s="1"/>
  <c r="H46" i="2"/>
  <c r="H13" i="17" s="1"/>
  <c r="H14" i="17" s="1"/>
  <c r="H16" i="17" s="1"/>
  <c r="H18" i="17" s="1"/>
  <c r="H107" i="16" s="1"/>
  <c r="G164" i="13"/>
  <c r="F136" i="2"/>
  <c r="E29" i="18" s="1"/>
  <c r="F162" i="2"/>
  <c r="H132" i="13"/>
  <c r="H164" i="13" s="1"/>
  <c r="H122" i="13"/>
  <c r="J46" i="13"/>
  <c r="J9" i="17" s="1"/>
  <c r="J10" i="17" s="1"/>
  <c r="I95" i="13"/>
  <c r="I105" i="16" s="1"/>
  <c r="F91" i="13"/>
  <c r="F117" i="13"/>
  <c r="F97" i="13"/>
  <c r="F153" i="13" s="1"/>
  <c r="F124" i="13" s="1"/>
  <c r="F16" i="18" s="1"/>
  <c r="F45" i="13"/>
  <c r="F92" i="13"/>
  <c r="F195" i="13" s="1"/>
  <c r="F194" i="13"/>
  <c r="F34" i="19" s="1"/>
  <c r="G90" i="13"/>
  <c r="F189" i="13"/>
  <c r="F201" i="13" s="1"/>
  <c r="F121" i="13"/>
  <c r="F190" i="13"/>
  <c r="H90" i="13"/>
  <c r="I85" i="13"/>
  <c r="I26" i="17" s="1"/>
  <c r="F202" i="13"/>
  <c r="F172" i="13"/>
  <c r="F131" i="13"/>
  <c r="F23" i="18" s="1"/>
  <c r="F25" i="18" s="1"/>
  <c r="F118" i="13"/>
  <c r="F10" i="18" s="1"/>
  <c r="H135" i="13"/>
  <c r="I76" i="13" s="1"/>
  <c r="E17" i="2"/>
  <c r="G110" i="2"/>
  <c r="H110" i="2"/>
  <c r="I110" i="2"/>
  <c r="F110" i="2"/>
  <c r="J110" i="2"/>
  <c r="E110" i="2"/>
  <c r="K110" i="2"/>
  <c r="E119" i="2"/>
  <c r="E128" i="2" s="1"/>
  <c r="E147" i="2" s="1"/>
  <c r="H91" i="2"/>
  <c r="H45" i="2"/>
  <c r="H92" i="2"/>
  <c r="H195" i="2" s="1"/>
  <c r="F91" i="2"/>
  <c r="F45" i="2"/>
  <c r="F92" i="2"/>
  <c r="F195" i="2" s="1"/>
  <c r="G90" i="2"/>
  <c r="J90" i="2"/>
  <c r="I90" i="2"/>
  <c r="K90" i="2"/>
  <c r="F160" i="2" l="1"/>
  <c r="E9" i="18"/>
  <c r="H92" i="16"/>
  <c r="H33" i="19"/>
  <c r="E10" i="21"/>
  <c r="F160" i="13"/>
  <c r="F9" i="18"/>
  <c r="G117" i="2"/>
  <c r="H160" i="2" s="1"/>
  <c r="K19" i="14"/>
  <c r="G91" i="16"/>
  <c r="G94" i="16" s="1"/>
  <c r="D9" i="21"/>
  <c r="G97" i="2"/>
  <c r="G169" i="2"/>
  <c r="G155" i="16" s="1"/>
  <c r="G156" i="2"/>
  <c r="G149" i="16" s="1"/>
  <c r="G194" i="2"/>
  <c r="G96" i="2"/>
  <c r="H96" i="16"/>
  <c r="H118" i="2"/>
  <c r="H131" i="2"/>
  <c r="H29" i="17"/>
  <c r="F42" i="19"/>
  <c r="H109" i="16"/>
  <c r="H145" i="16" s="1"/>
  <c r="H153" i="2"/>
  <c r="H190" i="2" s="1"/>
  <c r="F47" i="19"/>
  <c r="G33" i="19"/>
  <c r="E9" i="21"/>
  <c r="G92" i="16"/>
  <c r="K20" i="14"/>
  <c r="G28" i="17"/>
  <c r="K91" i="16"/>
  <c r="K169" i="2"/>
  <c r="K156" i="2"/>
  <c r="K96" i="2"/>
  <c r="K97" i="2"/>
  <c r="K194" i="2"/>
  <c r="K117" i="2"/>
  <c r="D8" i="21"/>
  <c r="F30" i="15"/>
  <c r="I97" i="2"/>
  <c r="I117" i="2"/>
  <c r="J160" i="2" s="1"/>
  <c r="I169" i="2"/>
  <c r="I156" i="2"/>
  <c r="I96" i="2"/>
  <c r="I91" i="16"/>
  <c r="I194" i="2"/>
  <c r="F13" i="18"/>
  <c r="F18" i="18" s="1"/>
  <c r="K75" i="16"/>
  <c r="F152" i="2"/>
  <c r="F100" i="2"/>
  <c r="F102" i="2" s="1"/>
  <c r="H194" i="2"/>
  <c r="G118" i="16"/>
  <c r="H103" i="2"/>
  <c r="H118" i="16" s="1"/>
  <c r="I135" i="2"/>
  <c r="H152" i="2"/>
  <c r="H189" i="2" s="1"/>
  <c r="H201" i="2" s="1"/>
  <c r="F190" i="2"/>
  <c r="F124" i="2"/>
  <c r="F131" i="2"/>
  <c r="F118" i="2"/>
  <c r="F10" i="21"/>
  <c r="H10" i="21" s="1"/>
  <c r="I16" i="17"/>
  <c r="J91" i="16"/>
  <c r="J97" i="2"/>
  <c r="J117" i="2"/>
  <c r="K160" i="2" s="1"/>
  <c r="J194" i="2"/>
  <c r="J169" i="2"/>
  <c r="J96" i="2"/>
  <c r="J156" i="2"/>
  <c r="I27" i="17"/>
  <c r="I98" i="16" s="1"/>
  <c r="I93" i="16"/>
  <c r="G29" i="18"/>
  <c r="E65" i="16"/>
  <c r="I120" i="16"/>
  <c r="I148" i="16" s="1"/>
  <c r="K64" i="16"/>
  <c r="E67" i="16"/>
  <c r="H27" i="18"/>
  <c r="I27" i="18" s="1"/>
  <c r="H120" i="16"/>
  <c r="H148" i="16" s="1"/>
  <c r="K120" i="16"/>
  <c r="K148" i="16" s="1"/>
  <c r="K67" i="16"/>
  <c r="J120" i="16"/>
  <c r="J148" i="16" s="1"/>
  <c r="G120" i="16"/>
  <c r="G148" i="16" s="1"/>
  <c r="H94" i="16"/>
  <c r="E40" i="15"/>
  <c r="E31" i="15"/>
  <c r="E33" i="15" s="1"/>
  <c r="E34" i="15" s="1"/>
  <c r="E39" i="15"/>
  <c r="H172" i="16"/>
  <c r="H119" i="16" s="1"/>
  <c r="H95" i="2"/>
  <c r="H104" i="16" s="1"/>
  <c r="I46" i="2"/>
  <c r="I13" i="17" s="1"/>
  <c r="I14" i="17" s="1"/>
  <c r="G132" i="2"/>
  <c r="G164" i="2" s="1"/>
  <c r="G122" i="2"/>
  <c r="G100" i="2"/>
  <c r="F100" i="13"/>
  <c r="F102" i="13" s="1"/>
  <c r="F165" i="2"/>
  <c r="I132" i="13"/>
  <c r="I164" i="13" s="1"/>
  <c r="I122" i="13"/>
  <c r="I162" i="13" s="1"/>
  <c r="K46" i="13"/>
  <c r="J95" i="13"/>
  <c r="J105" i="16" s="1"/>
  <c r="H136" i="13"/>
  <c r="H165" i="13" s="1"/>
  <c r="H162" i="13"/>
  <c r="G194" i="13"/>
  <c r="G34" i="19" s="1"/>
  <c r="G117" i="13"/>
  <c r="G169" i="13"/>
  <c r="G46" i="19" s="1"/>
  <c r="G47" i="19" s="1"/>
  <c r="G156" i="13"/>
  <c r="G91" i="13"/>
  <c r="G97" i="16" s="1"/>
  <c r="G96" i="13"/>
  <c r="G45" i="13"/>
  <c r="G97" i="13"/>
  <c r="G153" i="13" s="1"/>
  <c r="G190" i="13" s="1"/>
  <c r="H103" i="13"/>
  <c r="I135" i="13"/>
  <c r="J76" i="13" s="1"/>
  <c r="F126" i="13"/>
  <c r="F161" i="13"/>
  <c r="F166" i="13" s="1"/>
  <c r="F44" i="19" s="1"/>
  <c r="F45" i="19" s="1"/>
  <c r="I90" i="13"/>
  <c r="J85" i="13"/>
  <c r="J26" i="17" s="1"/>
  <c r="F197" i="13"/>
  <c r="F133" i="13"/>
  <c r="F163" i="13"/>
  <c r="H194" i="13"/>
  <c r="H34" i="19" s="1"/>
  <c r="H117" i="13"/>
  <c r="H156" i="13"/>
  <c r="H149" i="16" s="1"/>
  <c r="H91" i="13"/>
  <c r="H97" i="16" s="1"/>
  <c r="H99" i="16" s="1"/>
  <c r="H96" i="13"/>
  <c r="H108" i="16" s="1"/>
  <c r="H144" i="16" s="1"/>
  <c r="H169" i="13"/>
  <c r="H46" i="19" s="1"/>
  <c r="H45" i="13"/>
  <c r="H97" i="13"/>
  <c r="H153" i="13" s="1"/>
  <c r="H190" i="13" s="1"/>
  <c r="F172" i="2"/>
  <c r="F202" i="2"/>
  <c r="H202" i="2"/>
  <c r="H172" i="2"/>
  <c r="K91" i="2"/>
  <c r="K45" i="2"/>
  <c r="I91" i="2"/>
  <c r="I92" i="2"/>
  <c r="I195" i="2" s="1"/>
  <c r="I45" i="2"/>
  <c r="J91" i="2"/>
  <c r="J45" i="2"/>
  <c r="G91" i="2"/>
  <c r="G45" i="2"/>
  <c r="I33" i="19" l="1"/>
  <c r="I92" i="16"/>
  <c r="I94" i="16"/>
  <c r="I131" i="2"/>
  <c r="I163" i="2" s="1"/>
  <c r="I118" i="2"/>
  <c r="I96" i="16"/>
  <c r="I29" i="18"/>
  <c r="F188" i="2"/>
  <c r="F197" i="2"/>
  <c r="F106" i="2"/>
  <c r="F107" i="2" s="1"/>
  <c r="F108" i="2" s="1"/>
  <c r="F198" i="2" s="1"/>
  <c r="H92" i="13"/>
  <c r="G92" i="13"/>
  <c r="K95" i="13"/>
  <c r="K105" i="16" s="1"/>
  <c r="K9" i="17"/>
  <c r="K10" i="17" s="1"/>
  <c r="I28" i="17"/>
  <c r="I106" i="16" s="1"/>
  <c r="J153" i="2"/>
  <c r="J190" i="2" s="1"/>
  <c r="K79" i="16"/>
  <c r="E79" i="16" s="1"/>
  <c r="K77" i="16"/>
  <c r="H13" i="18"/>
  <c r="K153" i="2"/>
  <c r="K190" i="2" s="1"/>
  <c r="G152" i="2"/>
  <c r="G189" i="2" s="1"/>
  <c r="G201" i="2" s="1"/>
  <c r="G108" i="16"/>
  <c r="G144" i="16" s="1"/>
  <c r="K92" i="2"/>
  <c r="K195" i="2" s="1"/>
  <c r="K96" i="16"/>
  <c r="K131" i="2"/>
  <c r="K118" i="2"/>
  <c r="I29" i="17"/>
  <c r="J135" i="2"/>
  <c r="I103" i="2"/>
  <c r="K152" i="2"/>
  <c r="K189" i="2" s="1"/>
  <c r="K201" i="2" s="1"/>
  <c r="J27" i="17"/>
  <c r="J98" i="16" s="1"/>
  <c r="J93" i="16"/>
  <c r="H47" i="19"/>
  <c r="G92" i="2"/>
  <c r="G195" i="2" s="1"/>
  <c r="G96" i="16"/>
  <c r="G99" i="16" s="1"/>
  <c r="G118" i="2"/>
  <c r="H161" i="2" s="1"/>
  <c r="G131" i="2"/>
  <c r="G163" i="2" s="1"/>
  <c r="E10" i="18"/>
  <c r="G10" i="18" s="1"/>
  <c r="I10" i="18" s="1"/>
  <c r="G161" i="2"/>
  <c r="F161" i="2"/>
  <c r="I152" i="2"/>
  <c r="I189" i="2" s="1"/>
  <c r="I201" i="2" s="1"/>
  <c r="I108" i="16"/>
  <c r="I144" i="16" s="1"/>
  <c r="G153" i="2"/>
  <c r="G190" i="2" s="1"/>
  <c r="G109" i="16"/>
  <c r="G145" i="16" s="1"/>
  <c r="E15" i="23"/>
  <c r="E34" i="17"/>
  <c r="I18" i="17"/>
  <c r="E23" i="18"/>
  <c r="F163" i="2"/>
  <c r="F39" i="15"/>
  <c r="F40" i="15"/>
  <c r="F31" i="15"/>
  <c r="F33" i="15" s="1"/>
  <c r="F34" i="15" s="1"/>
  <c r="G106" i="16"/>
  <c r="G29" i="17"/>
  <c r="H163" i="2"/>
  <c r="F9" i="21"/>
  <c r="H9" i="21" s="1"/>
  <c r="J96" i="16"/>
  <c r="J118" i="2"/>
  <c r="K161" i="2" s="1"/>
  <c r="J131" i="2"/>
  <c r="J163" i="2" s="1"/>
  <c r="F36" i="19"/>
  <c r="H101" i="16"/>
  <c r="J152" i="2"/>
  <c r="J189" i="2" s="1"/>
  <c r="J201" i="2" s="1"/>
  <c r="G124" i="2"/>
  <c r="H124" i="2" s="1"/>
  <c r="I124" i="2" s="1"/>
  <c r="J124" i="2" s="1"/>
  <c r="K124" i="2" s="1"/>
  <c r="E16" i="18"/>
  <c r="G16" i="18" s="1"/>
  <c r="H155" i="16"/>
  <c r="I155" i="16"/>
  <c r="F8" i="21"/>
  <c r="H8" i="21" s="1"/>
  <c r="G8" i="21"/>
  <c r="I161" i="2"/>
  <c r="H180" i="16"/>
  <c r="G101" i="16"/>
  <c r="G9" i="18"/>
  <c r="I9" i="18" s="1"/>
  <c r="G102" i="2"/>
  <c r="G10" i="21"/>
  <c r="F189" i="2"/>
  <c r="F201" i="2" s="1"/>
  <c r="F121" i="2"/>
  <c r="I109" i="16"/>
  <c r="I145" i="16" s="1"/>
  <c r="I153" i="2"/>
  <c r="I190" i="2" s="1"/>
  <c r="I160" i="2"/>
  <c r="G160" i="2"/>
  <c r="E44" i="15"/>
  <c r="E7" i="19" s="1"/>
  <c r="H174" i="16"/>
  <c r="H175" i="16" s="1"/>
  <c r="G197" i="2"/>
  <c r="J46" i="2"/>
  <c r="J13" i="17" s="1"/>
  <c r="J14" i="17" s="1"/>
  <c r="J16" i="17" s="1"/>
  <c r="J18" i="17" s="1"/>
  <c r="I95" i="2"/>
  <c r="I104" i="16" s="1"/>
  <c r="G136" i="2"/>
  <c r="G165" i="2" s="1"/>
  <c r="H162" i="2"/>
  <c r="G162" i="2"/>
  <c r="H132" i="2"/>
  <c r="H164" i="2" s="1"/>
  <c r="H122" i="2"/>
  <c r="H100" i="2"/>
  <c r="H102" i="2" s="1"/>
  <c r="F188" i="13"/>
  <c r="F192" i="13" s="1"/>
  <c r="L20" i="14" s="1"/>
  <c r="N20" i="14" s="1"/>
  <c r="F111" i="2"/>
  <c r="F151" i="2"/>
  <c r="F143" i="2" s="1"/>
  <c r="F157" i="2"/>
  <c r="F137" i="2" s="1"/>
  <c r="F200" i="2"/>
  <c r="J132" i="13"/>
  <c r="J164" i="13" s="1"/>
  <c r="J122" i="13"/>
  <c r="J162" i="13" s="1"/>
  <c r="K132" i="13"/>
  <c r="K164" i="13" s="1"/>
  <c r="K122" i="13"/>
  <c r="K136" i="13" s="1"/>
  <c r="I136" i="13"/>
  <c r="I165" i="13" s="1"/>
  <c r="G124" i="13"/>
  <c r="H124" i="13" s="1"/>
  <c r="G195" i="13"/>
  <c r="H195" i="13"/>
  <c r="G152" i="13"/>
  <c r="G41" i="19" s="1"/>
  <c r="G42" i="19" s="1"/>
  <c r="G100" i="13"/>
  <c r="G102" i="13" s="1"/>
  <c r="I103" i="13"/>
  <c r="J135" i="13"/>
  <c r="K76" i="13" s="1"/>
  <c r="G131" i="13"/>
  <c r="G118" i="13"/>
  <c r="F204" i="13"/>
  <c r="E27" i="13"/>
  <c r="H202" i="13"/>
  <c r="H172" i="13"/>
  <c r="G202" i="13"/>
  <c r="G172" i="13"/>
  <c r="H152" i="13"/>
  <c r="H100" i="13"/>
  <c r="H160" i="13"/>
  <c r="G160" i="13"/>
  <c r="H118" i="13"/>
  <c r="H131" i="13"/>
  <c r="J90" i="13"/>
  <c r="K85" i="13"/>
  <c r="I117" i="13"/>
  <c r="I160" i="13" s="1"/>
  <c r="I156" i="13"/>
  <c r="I149" i="16" s="1"/>
  <c r="I91" i="13"/>
  <c r="I96" i="13"/>
  <c r="I169" i="13"/>
  <c r="I46" i="19" s="1"/>
  <c r="I97" i="13"/>
  <c r="I153" i="13" s="1"/>
  <c r="I190" i="13" s="1"/>
  <c r="I194" i="13"/>
  <c r="I34" i="19" s="1"/>
  <c r="I45" i="13"/>
  <c r="G202" i="2"/>
  <c r="G172" i="2"/>
  <c r="F166" i="2"/>
  <c r="F133" i="2"/>
  <c r="J172" i="2"/>
  <c r="J202" i="2"/>
  <c r="I202" i="2"/>
  <c r="I172" i="2"/>
  <c r="J92" i="2"/>
  <c r="J195" i="2" s="1"/>
  <c r="K172" i="2"/>
  <c r="K202" i="2"/>
  <c r="G121" i="2" l="1"/>
  <c r="H121" i="2" s="1"/>
  <c r="I121" i="2" s="1"/>
  <c r="J121" i="2" s="1"/>
  <c r="K121" i="2" s="1"/>
  <c r="E13" i="18"/>
  <c r="K163" i="2"/>
  <c r="F192" i="2"/>
  <c r="J107" i="16"/>
  <c r="K90" i="13"/>
  <c r="K26" i="17"/>
  <c r="J33" i="19"/>
  <c r="J92" i="16"/>
  <c r="G36" i="19"/>
  <c r="E13" i="21"/>
  <c r="I10" i="21"/>
  <c r="J10" i="21" s="1"/>
  <c r="L10" i="21" s="1"/>
  <c r="G9" i="21"/>
  <c r="E25" i="18"/>
  <c r="G23" i="18"/>
  <c r="J94" i="16"/>
  <c r="J28" i="17"/>
  <c r="F196" i="13"/>
  <c r="E36" i="18"/>
  <c r="D17" i="21"/>
  <c r="G36" i="17"/>
  <c r="G113" i="16" s="1"/>
  <c r="E193" i="16" s="1"/>
  <c r="K36" i="17"/>
  <c r="K113" i="16" s="1"/>
  <c r="J36" i="17"/>
  <c r="J113" i="16" s="1"/>
  <c r="H36" i="17"/>
  <c r="I36" i="17"/>
  <c r="I113" i="16" s="1"/>
  <c r="I107" i="16"/>
  <c r="F126" i="2"/>
  <c r="I47" i="19"/>
  <c r="F206" i="13"/>
  <c r="J161" i="2"/>
  <c r="H102" i="13"/>
  <c r="H36" i="19" s="1"/>
  <c r="F38" i="19"/>
  <c r="F56" i="19"/>
  <c r="F37" i="19"/>
  <c r="F39" i="19"/>
  <c r="F44" i="15"/>
  <c r="I118" i="16"/>
  <c r="G188" i="2"/>
  <c r="G192" i="2" s="1"/>
  <c r="D13" i="21"/>
  <c r="F139" i="2"/>
  <c r="F141" i="2" s="1"/>
  <c r="F145" i="2" s="1"/>
  <c r="E30" i="18"/>
  <c r="I92" i="13"/>
  <c r="I97" i="16"/>
  <c r="I99" i="16" s="1"/>
  <c r="I101" i="16" s="1"/>
  <c r="H189" i="13"/>
  <c r="H201" i="13" s="1"/>
  <c r="H41" i="19"/>
  <c r="H42" i="19" s="1"/>
  <c r="J8" i="21"/>
  <c r="L8" i="21" s="1"/>
  <c r="I8" i="21"/>
  <c r="K135" i="2"/>
  <c r="K103" i="2" s="1"/>
  <c r="J103" i="2"/>
  <c r="J118" i="16" s="1"/>
  <c r="I180" i="16"/>
  <c r="G110" i="16"/>
  <c r="G146" i="16" s="1"/>
  <c r="I110" i="16"/>
  <c r="I146" i="16" s="1"/>
  <c r="J110" i="16"/>
  <c r="J146" i="16" s="1"/>
  <c r="H110" i="16"/>
  <c r="H146" i="16" s="1"/>
  <c r="K110" i="16"/>
  <c r="K146" i="16" s="1"/>
  <c r="K53" i="19"/>
  <c r="P53" i="19"/>
  <c r="J53" i="19"/>
  <c r="G53" i="19"/>
  <c r="L53" i="19"/>
  <c r="H53" i="19"/>
  <c r="O53" i="19"/>
  <c r="N53" i="19"/>
  <c r="I53" i="19"/>
  <c r="I172" i="16"/>
  <c r="I119" i="16" s="1"/>
  <c r="I100" i="2"/>
  <c r="I102" i="2" s="1"/>
  <c r="I132" i="2"/>
  <c r="I164" i="2" s="1"/>
  <c r="I122" i="2"/>
  <c r="H188" i="2"/>
  <c r="H192" i="2" s="1"/>
  <c r="D12" i="21" s="1"/>
  <c r="H197" i="2"/>
  <c r="J95" i="2"/>
  <c r="J104" i="16" s="1"/>
  <c r="K46" i="2"/>
  <c r="H133" i="2"/>
  <c r="I162" i="2"/>
  <c r="H136" i="2"/>
  <c r="H165" i="2" s="1"/>
  <c r="H166" i="2" s="1"/>
  <c r="J136" i="13"/>
  <c r="J165" i="13" s="1"/>
  <c r="K162" i="13"/>
  <c r="I124" i="13"/>
  <c r="H188" i="13"/>
  <c r="H192" i="13" s="1"/>
  <c r="E12" i="21" s="1"/>
  <c r="H197" i="13"/>
  <c r="I195" i="13"/>
  <c r="G197" i="13"/>
  <c r="G188" i="13"/>
  <c r="G192" i="13" s="1"/>
  <c r="K156" i="13"/>
  <c r="K149" i="16" s="1"/>
  <c r="K91" i="13"/>
  <c r="K96" i="13"/>
  <c r="K108" i="16" s="1"/>
  <c r="K144" i="16" s="1"/>
  <c r="K169" i="13"/>
  <c r="K45" i="13"/>
  <c r="K97" i="13"/>
  <c r="K194" i="13"/>
  <c r="K34" i="19" s="1"/>
  <c r="K117" i="13"/>
  <c r="J117" i="13"/>
  <c r="J160" i="13" s="1"/>
  <c r="J156" i="13"/>
  <c r="J149" i="16" s="1"/>
  <c r="J91" i="13"/>
  <c r="J97" i="16" s="1"/>
  <c r="J99" i="16" s="1"/>
  <c r="J96" i="13"/>
  <c r="J108" i="16" s="1"/>
  <c r="J144" i="16" s="1"/>
  <c r="J169" i="13"/>
  <c r="J92" i="13"/>
  <c r="J45" i="13"/>
  <c r="J194" i="13"/>
  <c r="J34" i="19" s="1"/>
  <c r="J97" i="13"/>
  <c r="H133" i="13"/>
  <c r="H163" i="13"/>
  <c r="H161" i="13"/>
  <c r="G161" i="13"/>
  <c r="G189" i="13"/>
  <c r="G201" i="13" s="1"/>
  <c r="G121" i="13"/>
  <c r="I202" i="13"/>
  <c r="I172" i="13"/>
  <c r="G133" i="13"/>
  <c r="G163" i="13"/>
  <c r="I152" i="13"/>
  <c r="I100" i="13"/>
  <c r="I102" i="13" s="1"/>
  <c r="I36" i="19" s="1"/>
  <c r="J103" i="13"/>
  <c r="K135" i="13"/>
  <c r="I118" i="13"/>
  <c r="I131" i="13"/>
  <c r="F167" i="2"/>
  <c r="F181" i="2" s="1"/>
  <c r="F207" i="2"/>
  <c r="I133" i="2"/>
  <c r="G126" i="2"/>
  <c r="G166" i="2"/>
  <c r="G133" i="2"/>
  <c r="E24" i="2"/>
  <c r="E27" i="2" s="1"/>
  <c r="I40" i="17" l="1"/>
  <c r="I41" i="17" s="1"/>
  <c r="I42" i="17" s="1"/>
  <c r="K10" i="21"/>
  <c r="M10" i="21"/>
  <c r="J153" i="13"/>
  <c r="J109" i="16"/>
  <c r="J145" i="16" s="1"/>
  <c r="E32" i="18"/>
  <c r="H38" i="19"/>
  <c r="H39" i="19"/>
  <c r="H37" i="19"/>
  <c r="H56" i="19"/>
  <c r="H113" i="16"/>
  <c r="H40" i="17"/>
  <c r="J180" i="16"/>
  <c r="J101" i="16"/>
  <c r="K27" i="17"/>
  <c r="K98" i="16" s="1"/>
  <c r="K28" i="17"/>
  <c r="K106" i="16" s="1"/>
  <c r="K93" i="16"/>
  <c r="G25" i="18"/>
  <c r="I23" i="18"/>
  <c r="I25" i="18" s="1"/>
  <c r="K33" i="19"/>
  <c r="L33" i="19" s="1"/>
  <c r="K92" i="16"/>
  <c r="K94" i="16" s="1"/>
  <c r="F13" i="21"/>
  <c r="H13" i="21" s="1"/>
  <c r="G13" i="21"/>
  <c r="E34" i="18"/>
  <c r="E38" i="18" s="1"/>
  <c r="J9" i="21"/>
  <c r="L9" i="21" s="1"/>
  <c r="I9" i="21"/>
  <c r="M19" i="14"/>
  <c r="E19" i="22"/>
  <c r="D11" i="21"/>
  <c r="I9" i="22"/>
  <c r="G206" i="2"/>
  <c r="G196" i="2"/>
  <c r="G204" i="2"/>
  <c r="J46" i="19"/>
  <c r="J47" i="19" s="1"/>
  <c r="J155" i="16"/>
  <c r="G40" i="17"/>
  <c r="K46" i="19"/>
  <c r="K47" i="19" s="1"/>
  <c r="K155" i="16"/>
  <c r="M8" i="21"/>
  <c r="K8" i="21"/>
  <c r="E89" i="19"/>
  <c r="E46" i="17"/>
  <c r="F204" i="2"/>
  <c r="L19" i="14"/>
  <c r="N19" i="14" s="1"/>
  <c r="E35" i="16"/>
  <c r="E37" i="16" s="1"/>
  <c r="F196" i="2"/>
  <c r="F206" i="2"/>
  <c r="K153" i="13"/>
  <c r="K190" i="13" s="1"/>
  <c r="K109" i="16"/>
  <c r="K145" i="16" s="1"/>
  <c r="K95" i="2"/>
  <c r="K104" i="16" s="1"/>
  <c r="K13" i="17"/>
  <c r="K14" i="17" s="1"/>
  <c r="K16" i="17" s="1"/>
  <c r="K18" i="17" s="1"/>
  <c r="K92" i="13"/>
  <c r="K97" i="16"/>
  <c r="G38" i="19"/>
  <c r="G39" i="19" s="1"/>
  <c r="G56" i="19"/>
  <c r="G37" i="19"/>
  <c r="G13" i="18"/>
  <c r="E18" i="18"/>
  <c r="E11" i="21"/>
  <c r="M20" i="14"/>
  <c r="E20" i="22"/>
  <c r="I10" i="22"/>
  <c r="F12" i="21"/>
  <c r="H12" i="21" s="1"/>
  <c r="G12" i="21"/>
  <c r="I38" i="19"/>
  <c r="I39" i="19" s="1"/>
  <c r="I56" i="19"/>
  <c r="I37" i="19"/>
  <c r="J106" i="16"/>
  <c r="J29" i="17"/>
  <c r="J40" i="17" s="1"/>
  <c r="I189" i="13"/>
  <c r="I201" i="13" s="1"/>
  <c r="I41" i="19"/>
  <c r="I42" i="19" s="1"/>
  <c r="E195" i="16"/>
  <c r="I174" i="16"/>
  <c r="I175" i="16" s="1"/>
  <c r="J122" i="2"/>
  <c r="J162" i="2" s="1"/>
  <c r="J100" i="2"/>
  <c r="J102" i="2" s="1"/>
  <c r="J132" i="2"/>
  <c r="K122" i="2"/>
  <c r="K136" i="2" s="1"/>
  <c r="K132" i="2"/>
  <c r="K100" i="2"/>
  <c r="K102" i="2" s="1"/>
  <c r="I136" i="2"/>
  <c r="I165" i="2" s="1"/>
  <c r="I166" i="2" s="1"/>
  <c r="H206" i="2"/>
  <c r="H196" i="2"/>
  <c r="H204" i="2"/>
  <c r="I188" i="2"/>
  <c r="I192" i="2" s="1"/>
  <c r="I197" i="2"/>
  <c r="H166" i="13"/>
  <c r="H44" i="19" s="1"/>
  <c r="H45" i="19" s="1"/>
  <c r="K165" i="13"/>
  <c r="G166" i="13"/>
  <c r="G44" i="19" s="1"/>
  <c r="G45" i="19" s="1"/>
  <c r="I188" i="13"/>
  <c r="I197" i="13"/>
  <c r="K195" i="13"/>
  <c r="J172" i="13"/>
  <c r="J202" i="13"/>
  <c r="I163" i="13"/>
  <c r="I133" i="13"/>
  <c r="J152" i="13"/>
  <c r="J100" i="13"/>
  <c r="J102" i="13" s="1"/>
  <c r="J36" i="19" s="1"/>
  <c r="I161" i="13"/>
  <c r="J118" i="13"/>
  <c r="K161" i="13" s="1"/>
  <c r="J131" i="13"/>
  <c r="J195" i="13"/>
  <c r="K103" i="13"/>
  <c r="K118" i="16" s="1"/>
  <c r="K172" i="13"/>
  <c r="K202" i="13"/>
  <c r="G206" i="13"/>
  <c r="G196" i="13"/>
  <c r="G204" i="13"/>
  <c r="K160" i="13"/>
  <c r="K100" i="13"/>
  <c r="K102" i="13" s="1"/>
  <c r="K36" i="19" s="1"/>
  <c r="K152" i="13"/>
  <c r="H206" i="13"/>
  <c r="H196" i="13"/>
  <c r="H204" i="13"/>
  <c r="G126" i="13"/>
  <c r="H121" i="13"/>
  <c r="K118" i="13"/>
  <c r="K131" i="13"/>
  <c r="H126" i="2"/>
  <c r="I48" i="17" l="1"/>
  <c r="I51" i="17" s="1"/>
  <c r="I95" i="19"/>
  <c r="J189" i="13"/>
  <c r="J201" i="13" s="1"/>
  <c r="J41" i="19"/>
  <c r="J42" i="19" s="1"/>
  <c r="K29" i="17"/>
  <c r="K38" i="19"/>
  <c r="K39" i="19" s="1"/>
  <c r="K37" i="19"/>
  <c r="K9" i="21"/>
  <c r="M9" i="21"/>
  <c r="G152" i="16"/>
  <c r="I13" i="21"/>
  <c r="J13" i="21" s="1"/>
  <c r="L13" i="21" s="1"/>
  <c r="J41" i="17"/>
  <c r="J42" i="17" s="1"/>
  <c r="K99" i="16"/>
  <c r="K101" i="16" s="1"/>
  <c r="N22" i="14"/>
  <c r="N25" i="14"/>
  <c r="N26" i="14"/>
  <c r="N24" i="14"/>
  <c r="N23" i="14"/>
  <c r="H152" i="16"/>
  <c r="J12" i="21"/>
  <c r="L12" i="21" s="1"/>
  <c r="I12" i="21"/>
  <c r="K189" i="13"/>
  <c r="K201" i="13" s="1"/>
  <c r="K41" i="19"/>
  <c r="K42" i="19" s="1"/>
  <c r="F11" i="21"/>
  <c r="H11" i="21" s="1"/>
  <c r="G11" i="21"/>
  <c r="K180" i="16"/>
  <c r="H41" i="17"/>
  <c r="H42" i="17" s="1"/>
  <c r="J38" i="19"/>
  <c r="J39" i="19" s="1"/>
  <c r="J37" i="19"/>
  <c r="L41" i="19"/>
  <c r="N33" i="19"/>
  <c r="L36" i="19"/>
  <c r="L44" i="19"/>
  <c r="L46" i="19"/>
  <c r="J190" i="13"/>
  <c r="J124" i="13"/>
  <c r="K124" i="13" s="1"/>
  <c r="K107" i="16"/>
  <c r="K40" i="17"/>
  <c r="E21" i="22"/>
  <c r="E22" i="22" s="1"/>
  <c r="E25" i="22" s="1"/>
  <c r="G41" i="17"/>
  <c r="G42" i="17" s="1"/>
  <c r="I192" i="13"/>
  <c r="I196" i="13" s="1"/>
  <c r="G18" i="18"/>
  <c r="I13" i="18"/>
  <c r="J172" i="16"/>
  <c r="J119" i="16" s="1"/>
  <c r="K188" i="2"/>
  <c r="K192" i="2" s="1"/>
  <c r="K197" i="2"/>
  <c r="K164" i="2"/>
  <c r="K133" i="2"/>
  <c r="J164" i="2"/>
  <c r="J133" i="2"/>
  <c r="I206" i="2"/>
  <c r="I196" i="2"/>
  <c r="I204" i="2"/>
  <c r="J188" i="2"/>
  <c r="J192" i="2" s="1"/>
  <c r="J197" i="2"/>
  <c r="J136" i="2"/>
  <c r="J165" i="2" s="1"/>
  <c r="K162" i="2"/>
  <c r="K188" i="13"/>
  <c r="K192" i="13" s="1"/>
  <c r="K197" i="13"/>
  <c r="J133" i="13"/>
  <c r="J163" i="13"/>
  <c r="J188" i="13"/>
  <c r="J197" i="13"/>
  <c r="I166" i="13"/>
  <c r="I44" i="19" s="1"/>
  <c r="I45" i="19" s="1"/>
  <c r="K133" i="13"/>
  <c r="K163" i="13"/>
  <c r="K166" i="13" s="1"/>
  <c r="K44" i="19" s="1"/>
  <c r="K45" i="19" s="1"/>
  <c r="J161" i="13"/>
  <c r="I204" i="13"/>
  <c r="H126" i="13"/>
  <c r="I121" i="13"/>
  <c r="I126" i="2"/>
  <c r="K204" i="2"/>
  <c r="M13" i="21" l="1"/>
  <c r="K13" i="21"/>
  <c r="J166" i="2"/>
  <c r="K41" i="17"/>
  <c r="K42" i="17" s="1"/>
  <c r="K165" i="2"/>
  <c r="K166" i="2" s="1"/>
  <c r="K152" i="16" s="1"/>
  <c r="J48" i="17"/>
  <c r="J51" i="17" s="1"/>
  <c r="J95" i="19"/>
  <c r="H95" i="19"/>
  <c r="H48" i="17"/>
  <c r="H51" i="17" s="1"/>
  <c r="M12" i="21"/>
  <c r="K12" i="21"/>
  <c r="I152" i="16"/>
  <c r="J192" i="13"/>
  <c r="J196" i="13" s="1"/>
  <c r="O33" i="19"/>
  <c r="N44" i="19"/>
  <c r="N36" i="19"/>
  <c r="N46" i="19"/>
  <c r="N41" i="19"/>
  <c r="L38" i="19"/>
  <c r="L56" i="19"/>
  <c r="L39" i="19"/>
  <c r="L49" i="19" s="1"/>
  <c r="I11" i="21"/>
  <c r="J11" i="21" s="1"/>
  <c r="L11" i="21" s="1"/>
  <c r="I99" i="19"/>
  <c r="I206" i="13"/>
  <c r="G48" i="17"/>
  <c r="G51" i="17" s="1"/>
  <c r="G95" i="19"/>
  <c r="J56" i="19"/>
  <c r="K56" i="19"/>
  <c r="J174" i="16"/>
  <c r="J175" i="16" s="1"/>
  <c r="J206" i="2"/>
  <c r="J196" i="2"/>
  <c r="J204" i="2"/>
  <c r="K206" i="2"/>
  <c r="K196" i="2"/>
  <c r="J166" i="13"/>
  <c r="J44" i="19" s="1"/>
  <c r="J45" i="19" s="1"/>
  <c r="K196" i="13"/>
  <c r="K206" i="13"/>
  <c r="K204" i="13"/>
  <c r="I126" i="13"/>
  <c r="J121" i="13"/>
  <c r="J126" i="2"/>
  <c r="K126" i="2"/>
  <c r="K11" i="21" l="1"/>
  <c r="M11" i="21"/>
  <c r="K48" i="17"/>
  <c r="K49" i="17" s="1"/>
  <c r="K51" i="17" s="1"/>
  <c r="E52" i="17" s="1"/>
  <c r="K95" i="19"/>
  <c r="K99" i="19" s="1"/>
  <c r="J99" i="19"/>
  <c r="N38" i="19"/>
  <c r="N39" i="19" s="1"/>
  <c r="N49" i="19" s="1"/>
  <c r="N56" i="19"/>
  <c r="O46" i="19"/>
  <c r="O44" i="19"/>
  <c r="O41" i="19"/>
  <c r="O36" i="19"/>
  <c r="P33" i="19"/>
  <c r="J152" i="16"/>
  <c r="J204" i="13"/>
  <c r="L54" i="19"/>
  <c r="J206" i="13"/>
  <c r="G99" i="19"/>
  <c r="H99" i="19"/>
  <c r="K172" i="16"/>
  <c r="K119" i="16" s="1"/>
  <c r="J126" i="13"/>
  <c r="K121" i="13"/>
  <c r="K126" i="13" s="1"/>
  <c r="N50" i="19" l="1"/>
  <c r="N54" i="19"/>
  <c r="P44" i="19"/>
  <c r="P36" i="19"/>
  <c r="P46" i="19"/>
  <c r="P41" i="19"/>
  <c r="O38" i="19"/>
  <c r="O56" i="19"/>
  <c r="O39" i="19"/>
  <c r="O49" i="19" s="1"/>
  <c r="K174" i="16"/>
  <c r="K175" i="16" s="1"/>
  <c r="O50" i="19" l="1"/>
  <c r="O54" i="19"/>
  <c r="P38" i="19"/>
  <c r="P39" i="19" s="1"/>
  <c r="P49" i="19" s="1"/>
  <c r="P56" i="19"/>
  <c r="G16" i="19" s="1"/>
  <c r="P50" i="19" l="1"/>
  <c r="E16" i="19"/>
  <c r="P54" i="19"/>
  <c r="G17" i="19"/>
  <c r="E28" i="19"/>
  <c r="E58" i="13"/>
  <c r="E92" i="13"/>
  <c r="E195" i="13" s="1"/>
  <c r="E102" i="13"/>
  <c r="E188" i="13" s="1"/>
  <c r="E192" i="13" s="1"/>
  <c r="E29" i="19" l="1"/>
  <c r="E17" i="19"/>
  <c r="E26" i="13"/>
  <c r="E196" i="13"/>
  <c r="E206" i="13"/>
  <c r="E204" i="13"/>
  <c r="E205" i="13"/>
  <c r="E207" i="13"/>
  <c r="E197" i="13"/>
  <c r="E106" i="13"/>
  <c r="E200" i="13" l="1"/>
  <c r="E108" i="13"/>
  <c r="E111" i="13" s="1"/>
  <c r="E28" i="13" s="1"/>
  <c r="E151" i="13" l="1"/>
  <c r="E167" i="13" s="1"/>
  <c r="E181" i="13" s="1"/>
  <c r="E184" i="13" s="1"/>
  <c r="F183" i="13" s="1"/>
  <c r="E198" i="13"/>
  <c r="F104" i="13" l="1"/>
  <c r="F106" i="13" s="1"/>
  <c r="F107" i="13" s="1"/>
  <c r="F108" i="13" l="1"/>
  <c r="F157" i="13"/>
  <c r="F200" i="13"/>
  <c r="F43" i="19" l="1"/>
  <c r="F49" i="19" s="1"/>
  <c r="F137" i="13"/>
  <c r="E81" i="16" s="1"/>
  <c r="F207" i="13"/>
  <c r="F111" i="13"/>
  <c r="F151" i="13"/>
  <c r="F198" i="13"/>
  <c r="F143" i="13" l="1"/>
  <c r="F167" i="13"/>
  <c r="F181" i="13" s="1"/>
  <c r="F184" i="13" s="1"/>
  <c r="F30" i="18"/>
  <c r="F139" i="13"/>
  <c r="F141" i="13" s="1"/>
  <c r="F145" i="13" s="1"/>
  <c r="F32" i="18" l="1"/>
  <c r="F34" i="18" s="1"/>
  <c r="G30" i="18"/>
  <c r="G32" i="18" s="1"/>
  <c r="G34" i="18" s="1"/>
  <c r="F116" i="13"/>
  <c r="G183" i="13"/>
  <c r="G104" i="13" s="1"/>
  <c r="G106" i="13" s="1"/>
  <c r="G107" i="13" s="1"/>
  <c r="E17" i="21"/>
  <c r="F17" i="21" s="1"/>
  <c r="F36" i="18"/>
  <c r="G36" i="18" s="1"/>
  <c r="E75" i="16"/>
  <c r="H17" i="21" l="1"/>
  <c r="G17" i="21"/>
  <c r="G108" i="13"/>
  <c r="G157" i="13"/>
  <c r="G200" i="13"/>
  <c r="E22" i="16"/>
  <c r="E20" i="19"/>
  <c r="F8" i="18"/>
  <c r="F11" i="18" s="1"/>
  <c r="F20" i="18" s="1"/>
  <c r="G20" i="14"/>
  <c r="I20" i="14" s="1"/>
  <c r="F205" i="13"/>
  <c r="F119" i="13"/>
  <c r="F128" i="13" s="1"/>
  <c r="G38" i="18"/>
  <c r="F38" i="18"/>
  <c r="F40" i="18" l="1"/>
  <c r="Q20" i="14"/>
  <c r="P20" i="14"/>
  <c r="O20" i="14"/>
  <c r="G20" i="19"/>
  <c r="E22" i="19"/>
  <c r="G22" i="19" s="1"/>
  <c r="G43" i="19"/>
  <c r="G49" i="19" s="1"/>
  <c r="G137" i="13"/>
  <c r="G139" i="13" s="1"/>
  <c r="G141" i="13" s="1"/>
  <c r="G207" i="13"/>
  <c r="G111" i="13"/>
  <c r="E14" i="21"/>
  <c r="G198" i="13"/>
  <c r="G151" i="13"/>
  <c r="I17" i="21"/>
  <c r="J17" i="21" s="1"/>
  <c r="L17" i="21" s="1"/>
  <c r="F147" i="13"/>
  <c r="E16" i="21"/>
  <c r="M17" i="21" l="1"/>
  <c r="K17" i="21"/>
  <c r="G50" i="19"/>
  <c r="G94" i="19"/>
  <c r="G54" i="19"/>
  <c r="G143" i="13"/>
  <c r="G145" i="13" s="1"/>
  <c r="G167" i="13"/>
  <c r="G181" i="13" s="1"/>
  <c r="G184" i="13" s="1"/>
  <c r="H183" i="13" l="1"/>
  <c r="H104" i="13" s="1"/>
  <c r="H106" i="13" s="1"/>
  <c r="G116" i="13"/>
  <c r="G117" i="19"/>
  <c r="G121" i="19"/>
  <c r="G118" i="19"/>
  <c r="G116" i="19"/>
  <c r="G119" i="19"/>
  <c r="G120" i="19"/>
  <c r="G97" i="19"/>
  <c r="H10" i="22" l="1"/>
  <c r="J10" i="22" s="1"/>
  <c r="G205" i="13"/>
  <c r="G119" i="13"/>
  <c r="G128" i="13" s="1"/>
  <c r="G147" i="13" s="1"/>
  <c r="H107" i="13"/>
  <c r="H108" i="13"/>
  <c r="G110" i="19"/>
  <c r="G107" i="19"/>
  <c r="G109" i="19"/>
  <c r="G111" i="19"/>
  <c r="G108" i="19"/>
  <c r="H111" i="13" l="1"/>
  <c r="E15" i="21"/>
  <c r="H198" i="13"/>
  <c r="H151" i="13"/>
  <c r="H200" i="13"/>
  <c r="H157" i="13"/>
  <c r="H43" i="19" l="1"/>
  <c r="H49" i="19" s="1"/>
  <c r="H207" i="13"/>
  <c r="H137" i="13"/>
  <c r="H139" i="13" s="1"/>
  <c r="H141" i="13" s="1"/>
  <c r="H167" i="13"/>
  <c r="H181" i="13" s="1"/>
  <c r="H184" i="13" s="1"/>
  <c r="H143" i="13"/>
  <c r="H145" i="13" l="1"/>
  <c r="H94" i="19"/>
  <c r="H50" i="19"/>
  <c r="H54" i="19"/>
  <c r="H116" i="13"/>
  <c r="I183" i="13"/>
  <c r="I104" i="13" s="1"/>
  <c r="I106" i="13" s="1"/>
  <c r="I107" i="13"/>
  <c r="I108" i="13" s="1"/>
  <c r="I111" i="13" s="1"/>
  <c r="H119" i="13" l="1"/>
  <c r="H128" i="13" s="1"/>
  <c r="H147" i="13" s="1"/>
  <c r="H205" i="13"/>
  <c r="H120" i="19"/>
  <c r="H117" i="19"/>
  <c r="H121" i="19"/>
  <c r="H119" i="19"/>
  <c r="H116" i="19"/>
  <c r="H118" i="19"/>
  <c r="H97" i="19"/>
  <c r="I151" i="13"/>
  <c r="I198" i="13"/>
  <c r="I157" i="13"/>
  <c r="I43" i="19" s="1"/>
  <c r="I49" i="19" s="1"/>
  <c r="I200" i="13"/>
  <c r="H108" i="19" l="1"/>
  <c r="H109" i="19"/>
  <c r="H110" i="19"/>
  <c r="H111" i="19"/>
  <c r="H107" i="19"/>
  <c r="I50" i="19"/>
  <c r="I94" i="19"/>
  <c r="I54" i="19"/>
  <c r="I207" i="13"/>
  <c r="I137" i="13"/>
  <c r="I167" i="13"/>
  <c r="I181" i="13" s="1"/>
  <c r="I184" i="13" s="1"/>
  <c r="I143" i="13"/>
  <c r="I118" i="19" l="1"/>
  <c r="I121" i="19"/>
  <c r="I119" i="19"/>
  <c r="I116" i="19"/>
  <c r="I117" i="19"/>
  <c r="I120" i="19"/>
  <c r="I97" i="19"/>
  <c r="I139" i="13"/>
  <c r="I141" i="13" s="1"/>
  <c r="I145" i="13" s="1"/>
  <c r="I116" i="13"/>
  <c r="J183" i="13"/>
  <c r="J104" i="13" s="1"/>
  <c r="I110" i="19" l="1"/>
  <c r="I107" i="19"/>
  <c r="I109" i="19"/>
  <c r="I108" i="19"/>
  <c r="I111" i="19"/>
  <c r="J106" i="13"/>
  <c r="I119" i="13"/>
  <c r="I128" i="13" s="1"/>
  <c r="I147" i="13" s="1"/>
  <c r="I205" i="13"/>
  <c r="J107" i="13" l="1"/>
  <c r="J108" i="13" s="1"/>
  <c r="J111" i="13" s="1"/>
  <c r="J198" i="13" l="1"/>
  <c r="J151" i="13"/>
  <c r="J157" i="13"/>
  <c r="J43" i="19" s="1"/>
  <c r="J49" i="19" s="1"/>
  <c r="J200" i="13"/>
  <c r="J94" i="19" l="1"/>
  <c r="J50" i="19"/>
  <c r="J54" i="19"/>
  <c r="J207" i="13"/>
  <c r="J137" i="13"/>
  <c r="J167" i="13"/>
  <c r="J181" i="13" s="1"/>
  <c r="J184" i="13" s="1"/>
  <c r="J143" i="13"/>
  <c r="J118" i="19" l="1"/>
  <c r="J119" i="19"/>
  <c r="J116" i="19"/>
  <c r="J117" i="19"/>
  <c r="J120" i="19"/>
  <c r="J121" i="19"/>
  <c r="J97" i="19"/>
  <c r="J139" i="13"/>
  <c r="J141" i="13" s="1"/>
  <c r="J145" i="13" s="1"/>
  <c r="J116" i="13"/>
  <c r="K183" i="13"/>
  <c r="K104" i="13" s="1"/>
  <c r="J110" i="19" l="1"/>
  <c r="J107" i="19"/>
  <c r="J111" i="19"/>
  <c r="J109" i="19"/>
  <c r="J108" i="19"/>
  <c r="J205" i="13"/>
  <c r="J119" i="13"/>
  <c r="J128" i="13" s="1"/>
  <c r="J147" i="13" s="1"/>
  <c r="K106" i="13"/>
  <c r="K107" i="13" l="1"/>
  <c r="K157" i="13" l="1"/>
  <c r="K43" i="19" s="1"/>
  <c r="K49" i="19" s="1"/>
  <c r="K200" i="13"/>
  <c r="K108" i="13"/>
  <c r="K111" i="13" s="1"/>
  <c r="K94" i="19" l="1"/>
  <c r="K50" i="19"/>
  <c r="K54" i="19"/>
  <c r="E15" i="19" s="1"/>
  <c r="L50" i="19"/>
  <c r="K151" i="13"/>
  <c r="K198" i="13"/>
  <c r="K207" i="13"/>
  <c r="K137" i="13"/>
  <c r="K139" i="13" s="1"/>
  <c r="K141" i="13" s="1"/>
  <c r="G15" i="19" l="1"/>
  <c r="G18" i="19" s="1"/>
  <c r="E18" i="19"/>
  <c r="K96" i="19"/>
  <c r="K97" i="19" s="1"/>
  <c r="K117" i="19"/>
  <c r="K121" i="19"/>
  <c r="K118" i="19"/>
  <c r="K119" i="19"/>
  <c r="K116" i="19"/>
  <c r="K120" i="19"/>
  <c r="K167" i="13"/>
  <c r="K181" i="13" s="1"/>
  <c r="K184" i="13" s="1"/>
  <c r="K116" i="13" s="1"/>
  <c r="K143" i="13"/>
  <c r="K145" i="13" s="1"/>
  <c r="K111" i="19" l="1"/>
  <c r="K108" i="19"/>
  <c r="K110" i="19"/>
  <c r="K107" i="19"/>
  <c r="K109" i="19"/>
  <c r="E23" i="19"/>
  <c r="E25" i="19" s="1"/>
  <c r="E19" i="19"/>
  <c r="G23" i="19"/>
  <c r="G25" i="19" s="1"/>
  <c r="G19" i="19"/>
  <c r="K205" i="13"/>
  <c r="K119" i="13"/>
  <c r="K128" i="13" s="1"/>
  <c r="K147" i="13" s="1"/>
  <c r="E33" i="23" s="1"/>
  <c r="E20" i="16"/>
  <c r="G26" i="19" l="1"/>
  <c r="E75" i="19"/>
  <c r="E26" i="19"/>
  <c r="E63" i="19"/>
  <c r="E23" i="16"/>
  <c r="E26" i="16" s="1"/>
  <c r="E12" i="23"/>
  <c r="K81" i="16"/>
  <c r="E74" i="16"/>
  <c r="E77" i="16" s="1"/>
  <c r="E63" i="16"/>
  <c r="E28" i="16"/>
  <c r="E54" i="17"/>
  <c r="E55" i="17" s="1"/>
  <c r="E57" i="16"/>
  <c r="H8" i="18"/>
  <c r="H11" i="18" s="1"/>
  <c r="K63" i="16"/>
  <c r="K83" i="16"/>
  <c r="K87" i="16" s="1"/>
  <c r="E51" i="16"/>
  <c r="K65" i="16"/>
  <c r="E88" i="19" l="1"/>
  <c r="F120" i="19" s="1"/>
  <c r="E120" i="19" s="1"/>
  <c r="E27" i="16"/>
  <c r="E13" i="23"/>
  <c r="E25" i="16"/>
  <c r="H25" i="20" s="1"/>
  <c r="H36" i="18"/>
  <c r="I36" i="18" s="1"/>
  <c r="E53" i="16"/>
  <c r="H111" i="16"/>
  <c r="H147" i="16" s="1"/>
  <c r="I111" i="16"/>
  <c r="I147" i="16" s="1"/>
  <c r="J111" i="16"/>
  <c r="J147" i="16" s="1"/>
  <c r="K111" i="16"/>
  <c r="K147" i="16" s="1"/>
  <c r="E66" i="16"/>
  <c r="E68" i="16" s="1"/>
  <c r="E52" i="16"/>
  <c r="E54" i="16" s="1"/>
  <c r="G111" i="16"/>
  <c r="K68" i="16"/>
  <c r="K84" i="16"/>
  <c r="D111" i="19" l="1"/>
  <c r="F111" i="19" s="1"/>
  <c r="E111" i="19" s="1"/>
  <c r="F119" i="19"/>
  <c r="E119" i="19" s="1"/>
  <c r="D108" i="19"/>
  <c r="F108" i="19" s="1"/>
  <c r="E108" i="19" s="1"/>
  <c r="F117" i="19"/>
  <c r="E117" i="19" s="1"/>
  <c r="D109" i="19"/>
  <c r="F109" i="19" s="1"/>
  <c r="E109" i="19" s="1"/>
  <c r="F121" i="19"/>
  <c r="E121" i="19" s="1"/>
  <c r="D107" i="19"/>
  <c r="F107" i="19" s="1"/>
  <c r="E107" i="19" s="1"/>
  <c r="D110" i="19"/>
  <c r="F110" i="19" s="1"/>
  <c r="E110" i="19" s="1"/>
  <c r="F97" i="19"/>
  <c r="E101" i="19" s="1"/>
  <c r="E102" i="19" s="1"/>
  <c r="F116" i="19"/>
  <c r="E116" i="19" s="1"/>
  <c r="F118" i="19"/>
  <c r="E118" i="19" s="1"/>
  <c r="I25" i="20"/>
  <c r="E14" i="23"/>
  <c r="H16" i="18"/>
  <c r="I16" i="18" s="1"/>
  <c r="K86" i="16"/>
  <c r="H30" i="18" s="1"/>
  <c r="J115" i="16"/>
  <c r="J117" i="16" s="1"/>
  <c r="I115" i="16"/>
  <c r="I117" i="16" s="1"/>
  <c r="H115" i="16"/>
  <c r="H117" i="16" s="1"/>
  <c r="G147" i="16"/>
  <c r="G115" i="16"/>
  <c r="G117" i="16" s="1"/>
  <c r="K115" i="16"/>
  <c r="K117" i="16" s="1"/>
  <c r="G129" i="16"/>
  <c r="G130" i="16" s="1"/>
  <c r="H129" i="16"/>
  <c r="H130" i="16" s="1"/>
  <c r="I129" i="16"/>
  <c r="I130" i="16" s="1"/>
  <c r="K129" i="16"/>
  <c r="K130" i="16" s="1"/>
  <c r="J129" i="16"/>
  <c r="J130" i="16" s="1"/>
  <c r="E80" i="16"/>
  <c r="E69" i="16"/>
  <c r="E35" i="23" s="1"/>
  <c r="E28" i="21" l="1"/>
  <c r="E29" i="22"/>
  <c r="E27" i="21"/>
  <c r="E82" i="16"/>
  <c r="E83" i="16" s="1"/>
  <c r="I30" i="18"/>
  <c r="I32" i="18" s="1"/>
  <c r="I34" i="18" s="1"/>
  <c r="I38" i="18" s="1"/>
  <c r="H32" i="18"/>
  <c r="H34" i="18" s="1"/>
  <c r="H38" i="18" s="1"/>
  <c r="K179" i="16"/>
  <c r="H179" i="16"/>
  <c r="G179" i="16"/>
  <c r="I179" i="16"/>
  <c r="J179" i="16"/>
  <c r="E85" i="16" l="1"/>
  <c r="H15" i="18"/>
  <c r="J181" i="16"/>
  <c r="J184" i="16"/>
  <c r="J186" i="16"/>
  <c r="I181" i="16"/>
  <c r="I184" i="16"/>
  <c r="I186" i="16"/>
  <c r="G181" i="16"/>
  <c r="G184" i="16"/>
  <c r="G186" i="16"/>
  <c r="H181" i="16"/>
  <c r="H184" i="16"/>
  <c r="H186" i="16"/>
  <c r="K181" i="16"/>
  <c r="K184" i="16"/>
  <c r="K186" i="16"/>
  <c r="I15" i="18" l="1"/>
  <c r="I18" i="18" s="1"/>
  <c r="H18" i="18"/>
  <c r="H20" i="18" s="1"/>
  <c r="H40" i="18" s="1"/>
  <c r="E42" i="2" l="1"/>
  <c r="E56" i="2"/>
  <c r="E58" i="2"/>
  <c r="E92" i="2"/>
  <c r="E102" i="2" s="1"/>
  <c r="E207" i="2" l="1"/>
  <c r="E188" i="2"/>
  <c r="E192" i="2" s="1"/>
  <c r="E106" i="2"/>
  <c r="E197" i="2"/>
  <c r="E195" i="2"/>
  <c r="E204" i="2" l="1"/>
  <c r="E205" i="2"/>
  <c r="E26" i="2"/>
  <c r="E196" i="2"/>
  <c r="E206" i="2"/>
  <c r="E200" i="2"/>
  <c r="E108" i="2"/>
  <c r="E111" i="2" l="1"/>
  <c r="E28" i="2" s="1"/>
  <c r="E151" i="2"/>
  <c r="E167" i="2" s="1"/>
  <c r="E181" i="2" s="1"/>
  <c r="E184" i="2" s="1"/>
  <c r="F183" i="2" s="1"/>
  <c r="F184" i="2" s="1"/>
  <c r="E198" i="2"/>
  <c r="G183" i="2" l="1"/>
  <c r="F116" i="2"/>
  <c r="G104" i="2" l="1"/>
  <c r="G106" i="2" s="1"/>
  <c r="F205" i="2"/>
  <c r="F119" i="2"/>
  <c r="F128" i="2" s="1"/>
  <c r="E8" i="18"/>
  <c r="G19" i="14"/>
  <c r="I19" i="14" s="1"/>
  <c r="E32" i="16"/>
  <c r="E33" i="16" s="1"/>
  <c r="O19" i="14" l="1"/>
  <c r="Q19" i="14"/>
  <c r="P19" i="14"/>
  <c r="G8" i="18"/>
  <c r="E11" i="18"/>
  <c r="E20" i="18" s="1"/>
  <c r="E40" i="18" s="1"/>
  <c r="F147" i="2"/>
  <c r="D16" i="21"/>
  <c r="G107" i="2"/>
  <c r="G108" i="2" s="1"/>
  <c r="G198" i="2" l="1"/>
  <c r="G111" i="2"/>
  <c r="D14" i="21"/>
  <c r="G151" i="2"/>
  <c r="G157" i="2"/>
  <c r="G200" i="2"/>
  <c r="F16" i="21"/>
  <c r="H16" i="21" s="1"/>
  <c r="G11" i="18"/>
  <c r="G20" i="18" s="1"/>
  <c r="G40" i="18" s="1"/>
  <c r="I8" i="18"/>
  <c r="P25" i="14"/>
  <c r="P22" i="14"/>
  <c r="P26" i="14"/>
  <c r="P23" i="14"/>
  <c r="P24" i="14"/>
  <c r="Q22" i="14"/>
  <c r="Q26" i="14"/>
  <c r="Q23" i="14"/>
  <c r="Q25" i="14"/>
  <c r="Q24" i="14"/>
  <c r="O22" i="14"/>
  <c r="O23" i="14"/>
  <c r="O26" i="14"/>
  <c r="O25" i="14"/>
  <c r="O24" i="14"/>
  <c r="G16" i="21" l="1"/>
  <c r="I16" i="21" s="1"/>
  <c r="J16" i="21" s="1"/>
  <c r="L16" i="21" s="1"/>
  <c r="G207" i="2"/>
  <c r="G137" i="2"/>
  <c r="G150" i="16"/>
  <c r="G167" i="2"/>
  <c r="G181" i="2" s="1"/>
  <c r="G184" i="2" s="1"/>
  <c r="G143" i="2"/>
  <c r="I11" i="18"/>
  <c r="I20" i="18" s="1"/>
  <c r="I40" i="18" s="1"/>
  <c r="E34" i="23" s="1"/>
  <c r="G169" i="16"/>
  <c r="F14" i="21"/>
  <c r="H14" i="21" s="1"/>
  <c r="E56" i="16"/>
  <c r="E58" i="16" s="1"/>
  <c r="G132" i="16"/>
  <c r="G14" i="21" l="1"/>
  <c r="I14" i="21" s="1"/>
  <c r="J14" i="21" s="1"/>
  <c r="L14" i="21" s="1"/>
  <c r="K14" i="21"/>
  <c r="M14" i="21"/>
  <c r="G122" i="16"/>
  <c r="G124" i="16" s="1"/>
  <c r="G116" i="2"/>
  <c r="H183" i="2"/>
  <c r="G139" i="2"/>
  <c r="G141" i="2" s="1"/>
  <c r="G145" i="2" s="1"/>
  <c r="K16" i="21"/>
  <c r="M16" i="21"/>
  <c r="H104" i="2" l="1"/>
  <c r="H106" i="2" s="1"/>
  <c r="G205" i="2"/>
  <c r="H9" i="22"/>
  <c r="J9" i="22" s="1"/>
  <c r="G119" i="2"/>
  <c r="G128" i="2" s="1"/>
  <c r="G147" i="2" s="1"/>
  <c r="G125" i="16"/>
  <c r="G126" i="16" s="1"/>
  <c r="G137" i="16" l="1"/>
  <c r="G138" i="16" s="1"/>
  <c r="G143" i="16"/>
  <c r="G153" i="16" s="1"/>
  <c r="G168" i="16" s="1"/>
  <c r="G170" i="16" s="1"/>
  <c r="G182" i="16"/>
  <c r="E192" i="16"/>
  <c r="G133" i="16"/>
  <c r="H107" i="2"/>
  <c r="H108" i="2"/>
  <c r="H151" i="2" l="1"/>
  <c r="H198" i="2"/>
  <c r="H111" i="2"/>
  <c r="H132" i="16" s="1"/>
  <c r="D15" i="21"/>
  <c r="H169" i="16"/>
  <c r="G185" i="16"/>
  <c r="E26" i="22"/>
  <c r="H157" i="2"/>
  <c r="H200" i="2"/>
  <c r="G134" i="16"/>
  <c r="G135" i="16"/>
  <c r="H207" i="2" l="1"/>
  <c r="H150" i="16"/>
  <c r="H137" i="2"/>
  <c r="H51" i="22"/>
  <c r="G58" i="22"/>
  <c r="G62" i="22"/>
  <c r="J47" i="22"/>
  <c r="J49" i="22"/>
  <c r="J51" i="22"/>
  <c r="I56" i="22"/>
  <c r="I58" i="22"/>
  <c r="I62" i="22"/>
  <c r="J60" i="22"/>
  <c r="I47" i="22"/>
  <c r="I49" i="22"/>
  <c r="I51" i="22"/>
  <c r="H56" i="22"/>
  <c r="H58" i="22"/>
  <c r="H60" i="22"/>
  <c r="H62" i="22"/>
  <c r="G50" i="22"/>
  <c r="G52" i="22"/>
  <c r="F59" i="22"/>
  <c r="G48" i="22"/>
  <c r="F57" i="22"/>
  <c r="F61" i="22"/>
  <c r="F48" i="22"/>
  <c r="F50" i="22"/>
  <c r="F52" i="22"/>
  <c r="J56" i="22"/>
  <c r="J58" i="22"/>
  <c r="J62" i="22"/>
  <c r="H48" i="22"/>
  <c r="H50" i="22"/>
  <c r="H52" i="22"/>
  <c r="G57" i="22"/>
  <c r="G59" i="22"/>
  <c r="G61" i="22"/>
  <c r="I48" i="22"/>
  <c r="I50" i="22"/>
  <c r="I52" i="22"/>
  <c r="H57" i="22"/>
  <c r="H59" i="22"/>
  <c r="H61" i="22"/>
  <c r="J50" i="22"/>
  <c r="J52" i="22"/>
  <c r="I57" i="22"/>
  <c r="I59" i="22"/>
  <c r="I61" i="22"/>
  <c r="F62" i="22"/>
  <c r="H47" i="22"/>
  <c r="J48" i="22"/>
  <c r="H49" i="22"/>
  <c r="G56" i="22"/>
  <c r="G60" i="22"/>
  <c r="I60" i="22"/>
  <c r="F47" i="22"/>
  <c r="F49" i="22"/>
  <c r="F51" i="22"/>
  <c r="J57" i="22"/>
  <c r="J59" i="22"/>
  <c r="J61" i="22"/>
  <c r="G47" i="22"/>
  <c r="G49" i="22"/>
  <c r="G51" i="22"/>
  <c r="F56" i="22"/>
  <c r="F58" i="22"/>
  <c r="F60" i="22"/>
  <c r="E28" i="22"/>
  <c r="E30" i="22" s="1"/>
  <c r="E33" i="22" s="1"/>
  <c r="H122" i="16"/>
  <c r="H124" i="16" s="1"/>
  <c r="F15" i="21"/>
  <c r="H15" i="21" s="1"/>
  <c r="G15" i="21"/>
  <c r="I15" i="21" s="1"/>
  <c r="J15" i="21" s="1"/>
  <c r="L15" i="21" s="1"/>
  <c r="E199" i="16"/>
  <c r="E16" i="23"/>
  <c r="H167" i="2"/>
  <c r="H181" i="2" s="1"/>
  <c r="H184" i="2" s="1"/>
  <c r="H143" i="2"/>
  <c r="H116" i="2" l="1"/>
  <c r="I183" i="2"/>
  <c r="H125" i="16"/>
  <c r="H126" i="16" s="1"/>
  <c r="E34" i="22"/>
  <c r="E46" i="22"/>
  <c r="E55" i="22"/>
  <c r="K15" i="21"/>
  <c r="M15" i="21"/>
  <c r="L21" i="21"/>
  <c r="L19" i="21"/>
  <c r="L20" i="21"/>
  <c r="H139" i="2"/>
  <c r="H141" i="2" s="1"/>
  <c r="H145" i="2" s="1"/>
  <c r="K21" i="21" l="1"/>
  <c r="K19" i="21"/>
  <c r="K20" i="21"/>
  <c r="M20" i="21"/>
  <c r="M19" i="21"/>
  <c r="M21" i="21"/>
  <c r="H137" i="16"/>
  <c r="H138" i="16" s="1"/>
  <c r="H143" i="16"/>
  <c r="H153" i="16" s="1"/>
  <c r="H168" i="16" s="1"/>
  <c r="H170" i="16" s="1"/>
  <c r="H182" i="16"/>
  <c r="H133" i="16"/>
  <c r="I104" i="2"/>
  <c r="I106" i="2" s="1"/>
  <c r="H205" i="2"/>
  <c r="H119" i="2"/>
  <c r="H128" i="2" s="1"/>
  <c r="H147" i="2" s="1"/>
  <c r="H134" i="16" l="1"/>
  <c r="H135" i="16"/>
  <c r="I169" i="16"/>
  <c r="H185" i="16"/>
  <c r="I107" i="2"/>
  <c r="I157" i="2" l="1"/>
  <c r="I200" i="2"/>
  <c r="I108" i="2"/>
  <c r="I122" i="16"/>
  <c r="I124" i="16" s="1"/>
  <c r="I125" i="16" l="1"/>
  <c r="I126" i="16" s="1"/>
  <c r="I151" i="2"/>
  <c r="I198" i="2"/>
  <c r="I111" i="2"/>
  <c r="I132" i="16" s="1"/>
  <c r="I207" i="2"/>
  <c r="I150" i="16"/>
  <c r="I137" i="2"/>
  <c r="I139" i="2" l="1"/>
  <c r="I141" i="2" s="1"/>
  <c r="I167" i="2"/>
  <c r="I181" i="2" s="1"/>
  <c r="I184" i="2" s="1"/>
  <c r="I143" i="2"/>
  <c r="I137" i="16"/>
  <c r="I138" i="16" s="1"/>
  <c r="I143" i="16"/>
  <c r="I153" i="16" s="1"/>
  <c r="I168" i="16" s="1"/>
  <c r="I170" i="16" s="1"/>
  <c r="I182" i="16"/>
  <c r="E194" i="16"/>
  <c r="I133" i="16"/>
  <c r="I134" i="16" l="1"/>
  <c r="I135" i="16"/>
  <c r="J169" i="16"/>
  <c r="I185" i="16"/>
  <c r="E37" i="22"/>
  <c r="I116" i="2"/>
  <c r="J183" i="2"/>
  <c r="I145" i="2"/>
  <c r="J104" i="2" l="1"/>
  <c r="J106" i="2" s="1"/>
  <c r="I205" i="2"/>
  <c r="I119" i="2"/>
  <c r="I128" i="2" s="1"/>
  <c r="I147" i="2" s="1"/>
  <c r="E36" i="22"/>
  <c r="E38" i="22"/>
  <c r="E39" i="22" s="1"/>
  <c r="J122" i="16"/>
  <c r="J124" i="16" s="1"/>
  <c r="E17" i="23"/>
  <c r="E213" i="16"/>
  <c r="J125" i="16" l="1"/>
  <c r="J126" i="16" s="1"/>
  <c r="J107" i="2"/>
  <c r="J157" i="2" l="1"/>
  <c r="J200" i="2"/>
  <c r="J108" i="2"/>
  <c r="J137" i="16"/>
  <c r="J143" i="16"/>
  <c r="J182" i="16"/>
  <c r="J133" i="16"/>
  <c r="J151" i="2" l="1"/>
  <c r="J198" i="2"/>
  <c r="J111" i="2"/>
  <c r="J132" i="16" s="1"/>
  <c r="J134" i="16" s="1"/>
  <c r="J207" i="2"/>
  <c r="J150" i="16"/>
  <c r="J153" i="16" s="1"/>
  <c r="J168" i="16" s="1"/>
  <c r="J170" i="16" s="1"/>
  <c r="J137" i="2"/>
  <c r="K169" i="16" l="1"/>
  <c r="J185" i="16"/>
  <c r="J139" i="2"/>
  <c r="J141" i="2" s="1"/>
  <c r="J145" i="2" s="1"/>
  <c r="J167" i="2"/>
  <c r="J181" i="2" s="1"/>
  <c r="J184" i="2" s="1"/>
  <c r="J143" i="2"/>
  <c r="J138" i="16"/>
  <c r="J135" i="16"/>
  <c r="J116" i="2" l="1"/>
  <c r="K183" i="2"/>
  <c r="K122" i="16"/>
  <c r="K124" i="16" s="1"/>
  <c r="K104" i="2" l="1"/>
  <c r="K106" i="2" s="1"/>
  <c r="J205" i="2"/>
  <c r="J119" i="2"/>
  <c r="J128" i="2" s="1"/>
  <c r="J147" i="2" s="1"/>
  <c r="K125" i="16"/>
  <c r="K126" i="16" s="1"/>
  <c r="K133" i="16" l="1"/>
  <c r="K137" i="16"/>
  <c r="K143" i="16"/>
  <c r="K182" i="16"/>
  <c r="K107" i="2"/>
  <c r="K108" i="2" s="1"/>
  <c r="K151" i="2" l="1"/>
  <c r="K198" i="2"/>
  <c r="K111" i="2"/>
  <c r="K132" i="16" s="1"/>
  <c r="K135" i="16" s="1"/>
  <c r="K134" i="16"/>
  <c r="K138" i="16"/>
  <c r="K200" i="2"/>
  <c r="K157" i="2"/>
  <c r="K150" i="16" l="1"/>
  <c r="K153" i="16" s="1"/>
  <c r="K168" i="16" s="1"/>
  <c r="K170" i="16" s="1"/>
  <c r="K185" i="16" s="1"/>
  <c r="K207" i="2"/>
  <c r="K137" i="2"/>
  <c r="K139" i="2" s="1"/>
  <c r="K141" i="2" s="1"/>
  <c r="K167" i="2"/>
  <c r="K181" i="2" s="1"/>
  <c r="K184" i="2" s="1"/>
  <c r="K116" i="2" s="1"/>
  <c r="K143" i="2"/>
  <c r="K145" i="2" l="1"/>
  <c r="K119" i="2"/>
  <c r="K128" i="2" s="1"/>
  <c r="K147" i="2" s="1"/>
  <c r="E32" i="23" s="1"/>
  <c r="K205" i="2"/>
</calcChain>
</file>

<file path=xl/sharedStrings.xml><?xml version="1.0" encoding="utf-8"?>
<sst xmlns="http://schemas.openxmlformats.org/spreadsheetml/2006/main" count="1636" uniqueCount="787">
  <si>
    <t>Date</t>
  </si>
  <si>
    <t>#</t>
  </si>
  <si>
    <t>x</t>
  </si>
  <si>
    <t>$ as Stated</t>
  </si>
  <si>
    <t>%</t>
  </si>
  <si>
    <t>$ M</t>
  </si>
  <si>
    <t>Revenue:</t>
  </si>
  <si>
    <t>Operating Expenses:</t>
  </si>
  <si>
    <t>Effective Tax Rate:</t>
  </si>
  <si>
    <t>Name</t>
  </si>
  <si>
    <t>Last Fiscal Year:</t>
  </si>
  <si>
    <t>Name:</t>
  </si>
  <si>
    <t>Projected:</t>
  </si>
  <si>
    <t>Revenue Growth Rates by Segment:</t>
  </si>
  <si>
    <t>Changes in Working Capital:</t>
  </si>
  <si>
    <t>Acquirer</t>
  </si>
  <si>
    <t>Target</t>
  </si>
  <si>
    <t>EBITDA</t>
  </si>
  <si>
    <t>Ticker</t>
  </si>
  <si>
    <t>Value</t>
  </si>
  <si>
    <t>TEV / Revenue</t>
  </si>
  <si>
    <t>TEV / EBITDA</t>
  </si>
  <si>
    <t>EBITDA Margin</t>
  </si>
  <si>
    <t>Total Debt</t>
  </si>
  <si>
    <t>Cash</t>
  </si>
  <si>
    <t>Maximum</t>
  </si>
  <si>
    <t>75th Percentile</t>
  </si>
  <si>
    <t>Median</t>
  </si>
  <si>
    <t>25th Percentile</t>
  </si>
  <si>
    <t>Minimum</t>
  </si>
  <si>
    <t>Combined</t>
  </si>
  <si>
    <t>Common Shareholders' Equity</t>
  </si>
  <si>
    <t>% Debt</t>
  </si>
  <si>
    <t>% Equity</t>
  </si>
  <si>
    <t>Pre-Tax Income</t>
  </si>
  <si>
    <t>Effective Tax Rate</t>
  </si>
  <si>
    <t>Net Income</t>
  </si>
  <si>
    <t>Diluted Shares</t>
  </si>
  <si>
    <t>Accounts Payable</t>
  </si>
  <si>
    <t>Accrued Liabilities</t>
  </si>
  <si>
    <t>Operating Lease Liabilities</t>
  </si>
  <si>
    <t>Other Non-Cash Items</t>
  </si>
  <si>
    <t>Acquirer: Meridian Industrial Supply, Inc. (MIDS) — Standalone Operating Model</t>
  </si>
  <si>
    <t>Ticker:</t>
  </si>
  <si>
    <t>Company Name:</t>
  </si>
  <si>
    <t>Meridian Industrial Supply, Inc.</t>
  </si>
  <si>
    <t>MIDS</t>
  </si>
  <si>
    <t>Share Price (Undisturbed)</t>
  </si>
  <si>
    <t>Basic Shares Outstanding</t>
  </si>
  <si>
    <t>M sh</t>
  </si>
  <si>
    <t>(+) Net Dilution from Options &amp; RSUs</t>
  </si>
  <si>
    <t>Diluted Shares Outstanding</t>
  </si>
  <si>
    <t>Treasury Stock Method:</t>
  </si>
  <si>
    <t>Options</t>
  </si>
  <si>
    <t>RSUs / Restricted Stock</t>
  </si>
  <si>
    <t>n/a</t>
  </si>
  <si>
    <t>Total Net Dilution</t>
  </si>
  <si>
    <t>Units (M)</t>
  </si>
  <si>
    <t>Strike</t>
  </si>
  <si>
    <t>Net Dilution</t>
  </si>
  <si>
    <t>Current Equity Value (Market Capitalisation)</t>
  </si>
  <si>
    <t>$M</t>
  </si>
  <si>
    <t>(-) Cash &amp; Cash Equivalents</t>
  </si>
  <si>
    <t>(+) Total Debt &amp; Finance Leases</t>
  </si>
  <si>
    <t>(+) Operating Lease Liabilities</t>
  </si>
  <si>
    <t>(+) Preferred Stock</t>
  </si>
  <si>
    <t>(+) Noncontrolling Interests</t>
  </si>
  <si>
    <t>(-) NOLs &amp; Non-Core Assets</t>
  </si>
  <si>
    <t>Current Enterprise Value (TEV)</t>
  </si>
  <si>
    <t>Unaffected price one day prior to announcement — the basis for the offer premium.</t>
  </si>
  <si>
    <t>Treasury stock method — schedule in columns P:S. Options are dilutive only when in the money.</t>
  </si>
  <si>
    <t>(+) Fasteners &amp; MRO Consumables</t>
  </si>
  <si>
    <t>(+) Power Transmission &amp; Automation</t>
  </si>
  <si>
    <t>(+) Fluid Handling &amp; Process</t>
  </si>
  <si>
    <t>(+) Safety &amp; Facility Solutions</t>
  </si>
  <si>
    <t>(+) Engineered Services &amp; Solutions</t>
  </si>
  <si>
    <t>Total Revenue</t>
  </si>
  <si>
    <t>(-) Cost of Sales</t>
  </si>
  <si>
    <t>Gross Profit</t>
  </si>
  <si>
    <t>(-) Selling, General &amp; Administrative</t>
  </si>
  <si>
    <t>(-) Depreciation</t>
  </si>
  <si>
    <t>(-) Amortisation of Intangibles</t>
  </si>
  <si>
    <t>(-) Legacy Merger &amp; Integration Costs</t>
  </si>
  <si>
    <t>(-) Impairment of Assets</t>
  </si>
  <si>
    <t>Total Operating Expenses</t>
  </si>
  <si>
    <t>Operating Income (EBIT)</t>
  </si>
  <si>
    <t>(-) Interest Expense</t>
  </si>
  <si>
    <t>(+) Interest Income</t>
  </si>
  <si>
    <t>(+) Other Income, Net</t>
  </si>
  <si>
    <t>(-) Income Tax Provision</t>
  </si>
  <si>
    <t>Average Diluted Shares</t>
  </si>
  <si>
    <t>Earnings per Share (EPS)</t>
  </si>
  <si>
    <t>1.  FINANCIAL PROFILE &amp; CURRENT MARKET VALUATION</t>
  </si>
  <si>
    <t>3.  INCOME STATEMENT</t>
  </si>
  <si>
    <t>2.  OPERATING DRIVERS &amp; PROJECTION ASSUMPTIONS</t>
  </si>
  <si>
    <t>Fasteners &amp; MRO Consumables</t>
  </si>
  <si>
    <t>Power Transmission &amp; Automation</t>
  </si>
  <si>
    <t>Fluid Handling &amp; Process</t>
  </si>
  <si>
    <t>Safety &amp; Facility Solutions</t>
  </si>
  <si>
    <t>Engineered Services &amp; Solutions</t>
  </si>
  <si>
    <t>Cost of Sales % of Revenue</t>
  </si>
  <si>
    <t>Total Employees</t>
  </si>
  <si>
    <t>Revenue per Employee</t>
  </si>
  <si>
    <t>$</t>
  </si>
  <si>
    <t>SG&amp;A Spending per Employee</t>
  </si>
  <si>
    <t>Growth Rate</t>
  </si>
  <si>
    <t>Depreciation % of Revenue</t>
  </si>
  <si>
    <t>Amortisation of Intangibles % of Revenue</t>
  </si>
  <si>
    <t>Legacy Merger &amp; Integration Costs</t>
  </si>
  <si>
    <t>Impairment of Assets</t>
  </si>
  <si>
    <t>Other Income, Net</t>
  </si>
  <si>
    <t>Accounts Receivable % of Revenue</t>
  </si>
  <si>
    <t>Inventory &amp; Other Current Assets % of COGS</t>
  </si>
  <si>
    <t>Operating Lease ROU Assets % of SG&amp;A</t>
  </si>
  <si>
    <t>Accounts Payable % of COGS</t>
  </si>
  <si>
    <t>Accrued Liabilities % of SG&amp;A</t>
  </si>
  <si>
    <t>Stock-Based Compensation % of Revenue</t>
  </si>
  <si>
    <t>Deferred Income Taxes % of Book Taxes</t>
  </si>
  <si>
    <t>Capital Expenditures % of Revenue</t>
  </si>
  <si>
    <t>Proceeds from Sale of PP&amp;E</t>
  </si>
  <si>
    <t>Acquisition Spending</t>
  </si>
  <si>
    <t>Debt Issuances</t>
  </si>
  <si>
    <t>Debt Repayments</t>
  </si>
  <si>
    <t>Share Repurchases</t>
  </si>
  <si>
    <t>Common Dividends</t>
  </si>
  <si>
    <t>Debt Issuance Fees Paid</t>
  </si>
  <si>
    <t>Weighted Average Interest Rate on Debt</t>
  </si>
  <si>
    <t>Beginning Total Debt Balance</t>
  </si>
  <si>
    <t>Interest Income % of Beginning Cash</t>
  </si>
  <si>
    <t>Amortisation of Debt Issuance Fees</t>
  </si>
  <si>
    <t>Neither company carries material NOLs or non-core assets; set to zero to keep the bridge clean.</t>
  </si>
  <si>
    <t>Deliberately excluded: Rent is part of SG&amp;A, so, lease is excluded. Treated the same way on Pub_Comps and MA_Comps.</t>
  </si>
  <si>
    <t>Every projected line item is driven from this block of drivers.</t>
  </si>
  <si>
    <t>4.  BALANCE SHEET</t>
  </si>
  <si>
    <t>($ in millions)</t>
  </si>
  <si>
    <t>FY26E</t>
  </si>
  <si>
    <t>FY27E</t>
  </si>
  <si>
    <t>FY28E</t>
  </si>
  <si>
    <t>FY29E</t>
  </si>
  <si>
    <t>FY30E</t>
  </si>
  <si>
    <t>ASSETS</t>
  </si>
  <si>
    <t>Cash &amp; Cash Equivalents</t>
  </si>
  <si>
    <t>Accounts Receivable</t>
  </si>
  <si>
    <t>Inventory &amp; Other Current Assets</t>
  </si>
  <si>
    <t>Total Current Assets</t>
  </si>
  <si>
    <t>Net Property, Plant &amp; Equipment</t>
  </si>
  <si>
    <t>Operating Lease Right-of-Use Assets</t>
  </si>
  <si>
    <t>Goodwill</t>
  </si>
  <si>
    <t>Other Intangible Assets</t>
  </si>
  <si>
    <t>Other Long-Term Assets</t>
  </si>
  <si>
    <t>Total Long-Term Assets</t>
  </si>
  <si>
    <t>TOTAL ASSETS</t>
  </si>
  <si>
    <t>LIABILITIES &amp; SHAREHOLDERS' EQUITY</t>
  </si>
  <si>
    <t>Total Current Liabilities</t>
  </si>
  <si>
    <t>Total Debt (Net of Unamortised Issuance Costs)</t>
  </si>
  <si>
    <t>Net Deferred Tax Liability</t>
  </si>
  <si>
    <t>Other Long-Term Liabilities</t>
  </si>
  <si>
    <t>Total Long-Term Liabilities</t>
  </si>
  <si>
    <t>Total Liabilities</t>
  </si>
  <si>
    <t>TOTAL LIABILITIES &amp; EQUITY</t>
  </si>
  <si>
    <t>Balance Sheet Check (must equal zero)</t>
  </si>
  <si>
    <t>(+) Depreciation</t>
  </si>
  <si>
    <t>(+) Amortisation of Intangibles</t>
  </si>
  <si>
    <t>(+) Amortisation of Debt Issuance Fees</t>
  </si>
  <si>
    <t>(+) Impairment of Assets</t>
  </si>
  <si>
    <t>(+) Stock-Based Compensation</t>
  </si>
  <si>
    <t>(+/-) Deferred Income Taxes</t>
  </si>
  <si>
    <t>(+/-) Other Non-Cash Items</t>
  </si>
  <si>
    <t>(+/-) Accounts Receivable</t>
  </si>
  <si>
    <t>(+/-) Inventory &amp; Other Current Assets</t>
  </si>
  <si>
    <t>(+/-) Operating Lease ROU Assets</t>
  </si>
  <si>
    <t>(+/-) Accounts Payable</t>
  </si>
  <si>
    <t>(+/-) Accrued Liabilities</t>
  </si>
  <si>
    <t>(+/-) Operating Lease Liabilities</t>
  </si>
  <si>
    <t>Net Change in Working Capital</t>
  </si>
  <si>
    <t>Cash Flow from Operations</t>
  </si>
  <si>
    <t>(-) Capital Expenditures</t>
  </si>
  <si>
    <t>(+) Proceeds from Sale of PP&amp;E</t>
  </si>
  <si>
    <t>(-) Acquisitions</t>
  </si>
  <si>
    <t>Cash Flow from Investing</t>
  </si>
  <si>
    <t>(+) Debt Issuances</t>
  </si>
  <si>
    <t>(-) Debt Repayments</t>
  </si>
  <si>
    <t>(-) Share Repurchases</t>
  </si>
  <si>
    <t>(-) Common Dividends</t>
  </si>
  <si>
    <t>(-) Debt Issuance Fees Paid</t>
  </si>
  <si>
    <t>Cash Flow from Financing</t>
  </si>
  <si>
    <t>Net Change in Cash</t>
  </si>
  <si>
    <t>Beginning Cash Balance</t>
  </si>
  <si>
    <t>Ending Cash Balance</t>
  </si>
  <si>
    <t>6.  KEY METRICS &amp; CREDIT RATIOS</t>
  </si>
  <si>
    <t>Revenue Growth</t>
  </si>
  <si>
    <t>Gross Margin</t>
  </si>
  <si>
    <t>Operating Margin</t>
  </si>
  <si>
    <t>Net Margin</t>
  </si>
  <si>
    <t>Total Debt / EBITDA</t>
  </si>
  <si>
    <t>Net Debt / EBITDA</t>
  </si>
  <si>
    <t>EBITDA / Interest Expense</t>
  </si>
  <si>
    <t>Unlevered Free Cash Flow</t>
  </si>
  <si>
    <t>5. CASH FLOW STATEMENT</t>
  </si>
  <si>
    <t>TEV / FY24A EBITDA</t>
  </si>
  <si>
    <t>TEV / FY25E EBITDA</t>
  </si>
  <si>
    <t>Price / FY24A EPS</t>
  </si>
  <si>
    <t>Head-count is a core SG&amp;A Driver. It is also the lever pulled in cost-synergy schedule</t>
  </si>
  <si>
    <t>Gross-margin improves due to private-label penetration and also due to normalisation of freight and input costs</t>
  </si>
  <si>
    <t>SG&amp;A = Employees x cost per employee. This way we can directly link workforce reduction to dollars</t>
  </si>
  <si>
    <t>Existing tangibles amortise over time, so this % goes down over the period</t>
  </si>
  <si>
    <t>Blended federal + state rate, held flat. Drives the tax provision in every projected year.</t>
  </si>
  <si>
    <t>Held constant. With no buy-backs of shares, the only share-count change in this analysis is the stock issued in the transaction.</t>
  </si>
  <si>
    <t>Projections assume no more spending on M&amp;A</t>
  </si>
  <si>
    <t>No new debt is issued in the projections</t>
  </si>
  <si>
    <t>Contractual amortisation + volunteer repayment</t>
  </si>
  <si>
    <t>Share repurchase is suspended. So, share dilution is just through deal consideration.</t>
  </si>
  <si>
    <t>Assumes that dividend repayment begins in FY25. Since, share buyback stopped, dividend absorbs most of the cashflow</t>
  </si>
  <si>
    <t>Routed to other long-term liabilities in BS</t>
  </si>
  <si>
    <t>Opening + issuances - repayments + amortisation of issuance fees - new fees paid.</t>
  </si>
  <si>
    <t xml:space="preserve">Opening + net income + stock compensation - buybacks - dividends. </t>
  </si>
  <si>
    <t>Cash interest on the average debt balance plus non-cash amortisation of capitalised issuance fees.</t>
  </si>
  <si>
    <t>Assumes coupon rate rather than blended interest</t>
  </si>
  <si>
    <t>Meridian is a national distributor of maintenance, repair and operating (MRO) supplies, fasteners, power-transmission components and fluid-handling products, serving industrial, energy and institutional end markets through ~230 branches and four regional DCs.</t>
  </si>
  <si>
    <t>Calder Fluid &amp; Flow Systems, Inc.</t>
  </si>
  <si>
    <t>CFFS</t>
  </si>
  <si>
    <t>Target: Calder Fluid &amp; Flow Systems, Inc. (CFFS) — Standalone Operating Model</t>
  </si>
  <si>
    <t>($ in millions, except per-share and per-unit data)</t>
  </si>
  <si>
    <t>Calder designs and distributes flow-control equipment — valves and actuation, engineered pump packages, skid assemblies and instrumentation — with a growing aftermarket and field service arm. Higher gross margin and more engineered content than a pure-play distributor.</t>
  </si>
  <si>
    <t>(+) Valves &amp; Actuation</t>
  </si>
  <si>
    <t>(+) Pumps &amp; Fluid Handling</t>
  </si>
  <si>
    <t>(+) Engineered Assemblies</t>
  </si>
  <si>
    <t>(+) Instrumentation &amp; Controls</t>
  </si>
  <si>
    <t>(+) Aftermarket &amp; Field Services</t>
  </si>
  <si>
    <t>Valves &amp; Actuation</t>
  </si>
  <si>
    <t>Pumps &amp; Fluid Handling</t>
  </si>
  <si>
    <t>Engineered Assemblies</t>
  </si>
  <si>
    <t>Instrumentation &amp; Controls</t>
  </si>
  <si>
    <t>Aftermarket &amp; Field Services</t>
  </si>
  <si>
    <t>This is integration costs of arlier acquistions. Expect it to complete by FY27</t>
  </si>
  <si>
    <t>ROU asset and lease liability are held equal, so the two cancel in working capital and the balance sheet stays clean.</t>
  </si>
  <si>
    <t>Screened for revenue of $1bn-$8bn and a comparable end-market mix. Meridian and Calder are shown inside the set, with their statistics linked live from their own tabs.</t>
  </si>
  <si>
    <t>OPERATING &amp; VALUATION STATISTICS</t>
  </si>
  <si>
    <t>TEV excludes operating lease liabilities on the same basis as the company tabs, so the multiples are directly comparable.</t>
  </si>
  <si>
    <t>Company</t>
  </si>
  <si>
    <t>Share Price</t>
  </si>
  <si>
    <t>Equity Value</t>
  </si>
  <si>
    <t>Enterprise Value</t>
  </si>
  <si>
    <t>FY25E Revenue</t>
  </si>
  <si>
    <t>FY26E Revenue</t>
  </si>
  <si>
    <t>FY25E EBITDA</t>
  </si>
  <si>
    <t>FY26E EBITDA</t>
  </si>
  <si>
    <t>FY25E EBITDA Margin</t>
  </si>
  <si>
    <t>TEV / FY25E Rev</t>
  </si>
  <si>
    <t>TEV / FY26E EBITDA</t>
  </si>
  <si>
    <t>Anchorpoint Industrial Group</t>
  </si>
  <si>
    <t>APIG</t>
  </si>
  <si>
    <t>Ardent Flow Technologies</t>
  </si>
  <si>
    <t>ARFT</t>
  </si>
  <si>
    <t>Castellan Supply Holdings</t>
  </si>
  <si>
    <t>CSLH</t>
  </si>
  <si>
    <t>Delaney Process Solutions</t>
  </si>
  <si>
    <t>DLPS</t>
  </si>
  <si>
    <t>Ellsworth Bearing &amp; Drive</t>
  </si>
  <si>
    <t>EBDC</t>
  </si>
  <si>
    <t>Harlow Valve &amp; Controls</t>
  </si>
  <si>
    <t>HVCX</t>
  </si>
  <si>
    <t>Kestrel MRO Distribution</t>
  </si>
  <si>
    <t>KMRO</t>
  </si>
  <si>
    <t>Northvale Fasteners</t>
  </si>
  <si>
    <t>NVFS</t>
  </si>
  <si>
    <t>Sable Point Industrial</t>
  </si>
  <si>
    <t>SPIN</t>
  </si>
  <si>
    <t>Trellis Flow Group</t>
  </si>
  <si>
    <t>TRFG</t>
  </si>
  <si>
    <t>The median is the reference point used on the Merger_Model and Value_Creation tabs. Note that Meridian trades below the peer median — the reason a 100% stock deal is expensive for its shareholders.</t>
  </si>
  <si>
    <t>Linked live from the Acquirer tab -  the comp set updates automatically if the operating model changes.</t>
  </si>
  <si>
    <t>Comparable Public Companies - North American Industrial Distributors &amp; Flow-Control Suppliers</t>
  </si>
  <si>
    <t>Weighted Average Cost of Capital — Discount Rate Derivation</t>
  </si>
  <si>
    <t>One unlevered beta is drawn from the peer group and re-levered to each company's own capital structure, giving a target WACC for the DCF and an acquirer WACC for valuing synergies and the deal IRR.</t>
  </si>
  <si>
    <t>1.  MARKET ASSUMPTIONS</t>
  </si>
  <si>
    <t>Risk-Free Rate</t>
  </si>
  <si>
    <t>10-year government bond yield at the analysis date.</t>
  </si>
  <si>
    <t>Equity Risk Premium</t>
  </si>
  <si>
    <t>Long-run supply-side premium for a developed market.</t>
  </si>
  <si>
    <t>Marginal Tax Rate (used to unlever peer betas)</t>
  </si>
  <si>
    <t>2.  PEER GROUP — UNLEVERING OBSERVED BETAS</t>
  </si>
  <si>
    <t>Hamada: Unlevered Beta = Levered Beta / (1 + (1 - t) x Debt / Equity). Strips out each peer's financing decision.</t>
  </si>
  <si>
    <t>Levered Beta</t>
  </si>
  <si>
    <t>Debt / Equity</t>
  </si>
  <si>
    <t>Unlevered Beta</t>
  </si>
  <si>
    <t>3.  RE-LEVERED BETA, COST OF EQUITY AND WACC</t>
  </si>
  <si>
    <t>Target (CFFS)</t>
  </si>
  <si>
    <t>Acquirer (MIDS)</t>
  </si>
  <si>
    <t>Median Unlevered Beta (peer group)</t>
  </si>
  <si>
    <t>Re-Levered Beta</t>
  </si>
  <si>
    <t>Re-levered to each company's own capital structure — the acquirer carries more leverage, so it earns a higher beta.</t>
  </si>
  <si>
    <t>Cost of Equity  (Rf + Beta x ERP)</t>
  </si>
  <si>
    <t>Pre-Tax Cost of Debt</t>
  </si>
  <si>
    <t>Each company's own blended borrowing rate, taken straight from its operating model.</t>
  </si>
  <si>
    <t>After-Tax Cost of Debt</t>
  </si>
  <si>
    <t>WACC  =  Cost of Equity x % Equity  +  After-Tax Cost of Debt x % Debt</t>
  </si>
  <si>
    <t>WACC — Current Capital Structure</t>
  </si>
  <si>
    <t>E44 discounts Calder's cash flows in the DCF. F44 discounts the synergies and is the hurdle rate for the deal IRR.</t>
  </si>
  <si>
    <t>Transaction assumptions, sources &amp; uses, purchase price allocation and the combined income statement, cash flow and credit profile. FY26E is the first full combined year (Combined Year 1).</t>
  </si>
  <si>
    <t>1.  TRANSACTION ASSUMPTIONS &amp; DEAL SWITCHES</t>
  </si>
  <si>
    <t>Yellow-shaded cells are the levers a reviewer should drive: deal structure, synergy switches and the realisation factor.</t>
  </si>
  <si>
    <t>Transaction Close Date</t>
  </si>
  <si>
    <t>Valuation / Analysis Date</t>
  </si>
  <si>
    <t>Transaction Type  (1 = Cash / Debt / Stock,  2 = 100% Stock)</t>
  </si>
  <si>
    <t>Master structure switch. 2 = management's proposed all-stock deal. 1 = maximum cash and debt first, with stock plugging the balance.</t>
  </si>
  <si>
    <t>Include Revenue Synergies?  (1 = Yes, 0 = No)</t>
  </si>
  <si>
    <t>Include Expense Synergies?  (1 = Yes, 0 = No)</t>
  </si>
  <si>
    <t>Expense Synergy Realisation Factor</t>
  </si>
  <si>
    <t>Exchange Ratio</t>
  </si>
  <si>
    <t>Target holders receive this many Meridian shares per Calder share. Drives both the offer price and the pro-forma ownership split.</t>
  </si>
  <si>
    <t>Implied Offer Price per Share</t>
  </si>
  <si>
    <t>$ / sh</t>
  </si>
  <si>
    <t>Target Share Price (Undisturbed)</t>
  </si>
  <si>
    <t>Premium Paid</t>
  </si>
  <si>
    <t>Target Diluted Shares @ Offer Price</t>
  </si>
  <si>
    <t>Purchase Equity Value</t>
  </si>
  <si>
    <t>(+) Target Total Debt Assumed / Refinanced</t>
  </si>
  <si>
    <t>Calder's debt is refinanced at close on identical economics, so it is a wash in the accretion analysis but still sits in the purchase enterprise value.</t>
  </si>
  <si>
    <t>(-) Target Cash Acquired</t>
  </si>
  <si>
    <t>Purchase Enterprise Value</t>
  </si>
  <si>
    <t>Purchase TEV / FY25E Revenue</t>
  </si>
  <si>
    <t>Purchase TEV / FY24A EBITDA</t>
  </si>
  <si>
    <t>Purchase TEV / FY25E EBITDA</t>
  </si>
  <si>
    <t>Compare against the trading comps (Pub_Comps) and the precedent transactions (MA_Comps) to judge whether the price is fair.</t>
  </si>
  <si>
    <t>Purchase Equity Value / FY25E Net Income</t>
  </si>
  <si>
    <t>2.  FINANCING CAPACITY &amp; COST</t>
  </si>
  <si>
    <t>Sets the ceiling on how much cash and debt the buyer can put into the deal before the stock component has to fill the gap.</t>
  </si>
  <si>
    <t>Post-Transaction Minimum Cash Balance</t>
  </si>
  <si>
    <t>Operating cash the combined business must retain for working-capital seasonality; it cannot be spent on the deal.</t>
  </si>
  <si>
    <t>Combined Cash at Close (FY25E)</t>
  </si>
  <si>
    <t>Maximum Cash Available for the Deal</t>
  </si>
  <si>
    <t>Maximum Combined Debt / EBITDA</t>
  </si>
  <si>
    <t>Combined FY25E EBITDA</t>
  </si>
  <si>
    <t>Existing Combined Debt at Close</t>
  </si>
  <si>
    <t>Maximum New Debt Available for the Deal</t>
  </si>
  <si>
    <t>bps</t>
  </si>
  <si>
    <t>Acquisition debt prices wide of the existing capital structure because it is incremental leverage on a larger, less proven credit.</t>
  </si>
  <si>
    <t># yrs</t>
  </si>
  <si>
    <t>Foregone Interest Rate on Cash Used</t>
  </si>
  <si>
    <t>Advisory Fee (% of Purchase Equity Value)</t>
  </si>
  <si>
    <t>Debt Issuance Fee (% of New Debt)</t>
  </si>
  <si>
    <t>Legal, Accounting &amp; Other Fees</t>
  </si>
  <si>
    <t>3.  CONSIDERATION MIX &amp; THE ACCRETION TEST</t>
  </si>
  <si>
    <t>Cash Used</t>
  </si>
  <si>
    <t>New Debt Issued</t>
  </si>
  <si>
    <t>Stock Issued</t>
  </si>
  <si>
    <t>Under structure 1 the model uses cheap capital first (cash, then debt to the leverage ceiling) and issues stock only for the residual.</t>
  </si>
  <si>
    <t>Total Consideration</t>
  </si>
  <si>
    <t>New Acquirer Shares Issued</t>
  </si>
  <si>
    <t>Under 100% stock this reduces exactly to Exchange Ratio x Target Diluted Shares.</t>
  </si>
  <si>
    <t>Check: Total Consideration less Purchase Equity Value</t>
  </si>
  <si>
    <t>Weighted Average Cost of Acquisition Capital (After-Tax)</t>
  </si>
  <si>
    <t>Cost of cash = foregone after-tax interest; cost of debt = after-tax coupon; cost of stock = the acquirer's FY26E earnings yield (inverse P/E).</t>
  </si>
  <si>
    <t>Target's Yield (FY26E Net Income / Purchase Equity Value)</t>
  </si>
  <si>
    <t>Quick Test: Accretive or Dilutive Before Synergies?</t>
  </si>
  <si>
    <t>The classic screen: a deal is accretive before synergies when what you buy yields more than what you pay with. Stock is the most expensive currency here because Meridian trades on a low earnings yield relative to Calder's.</t>
  </si>
  <si>
    <t>4.  SOURCES &amp; USES OF FUNDS</t>
  </si>
  <si>
    <t>Sources</t>
  </si>
  <si>
    <t>Uses</t>
  </si>
  <si>
    <t>Cash on Hand</t>
  </si>
  <si>
    <t>Purchase Target Equity</t>
  </si>
  <si>
    <t>Cash on hand funds the cash consideration plus all expensed fees. Debt financing fees are capitalised against the new debt and amortised over its life.</t>
  </si>
  <si>
    <t>New Acquisition Debt Issued</t>
  </si>
  <si>
    <t>Repay / Refinance Target Debt</t>
  </si>
  <si>
    <t>New Debt to Refinance Target Debt</t>
  </si>
  <si>
    <t>Advisory Fees</t>
  </si>
  <si>
    <t>Acquirer Stock Issued to Target Holders</t>
  </si>
  <si>
    <t>Debt Financing Fees (Capitalised)</t>
  </si>
  <si>
    <t>Debt Financing Fees</t>
  </si>
  <si>
    <t>Total Sources</t>
  </si>
  <si>
    <t>Total Uses</t>
  </si>
  <si>
    <t>Check: Sources less Uses</t>
  </si>
  <si>
    <t>5.  PURCHASE PRICE ALLOCATION</t>
  </si>
  <si>
    <t>Allocates the premium to written-up assets first; whatever is left over becomes goodwill. The write-ups are what create the new D&amp;A that drags on pro-forma EPS.</t>
  </si>
  <si>
    <t>Goodwill Calculation</t>
  </si>
  <si>
    <t>Write-Up Assumptions</t>
  </si>
  <si>
    <t>PP&amp;E Write-Up %</t>
  </si>
  <si>
    <t>PP&amp;E is written up to fair value; distribution centres and fleet carry meaningful appreciation over book.</t>
  </si>
  <si>
    <t>(-) Target Book Value of Equity at Close</t>
  </si>
  <si>
    <t>PP&amp;E Write-Up Amount</t>
  </si>
  <si>
    <t>(+) Write-Off of Target's Existing Goodwill</t>
  </si>
  <si>
    <t>Depreciation Period</t>
  </si>
  <si>
    <t>Total Allocable Purchase Premium</t>
  </si>
  <si>
    <t>Annual Depreciation on Write-Up</t>
  </si>
  <si>
    <t>(-) Write-Up of PP&amp;E</t>
  </si>
  <si>
    <t>PP&amp;E Write-Up (to goodwill calc)</t>
  </si>
  <si>
    <t>(-) Write-Up of Intangible Assets</t>
  </si>
  <si>
    <t>% Allocated to Indefinite-Lived Intangibles</t>
  </si>
  <si>
    <t>Trade names are indefinite-lived and NOT amortised; customer relationships are amortised over 12 years and are the main purchase-accounting drag on EPS.</t>
  </si>
  <si>
    <t>(-) Write-Off of Target's Existing Net DTL</t>
  </si>
  <si>
    <t>Indefinite-Lived Intangibles (Trade Names)</t>
  </si>
  <si>
    <t>(+) New Deferred Tax Liability</t>
  </si>
  <si>
    <t>% Allocated to Definite-Lived Intangibles</t>
  </si>
  <si>
    <t>Asset write-ups are not deductible for tax, so a DTL is booked at the acquirer's tax rate and increases goodwill.</t>
  </si>
  <si>
    <t>Total Goodwill Created</t>
  </si>
  <si>
    <t>Definite-Lived Intangibles (Customer Relationships)</t>
  </si>
  <si>
    <t>Total Intangible Write-Up</t>
  </si>
  <si>
    <t>Memo: Goodwill % of Purchase Equity Value</t>
  </si>
  <si>
    <t>Amortisation Period</t>
  </si>
  <si>
    <t>New Deferred Tax Liability</t>
  </si>
  <si>
    <t>Annual Amortisation of New Intangibles</t>
  </si>
  <si>
    <t>6.  COMBINED INCOME STATEMENT &amp; EPS ACCRETION / (DILUTION)</t>
  </si>
  <si>
    <t>Combined Yr 1</t>
  </si>
  <si>
    <t>Combined Yr 2</t>
  </si>
  <si>
    <t>Combined Yr 3</t>
  </si>
  <si>
    <t>Combined Yr 4</t>
  </si>
  <si>
    <t>Combined Yr 5</t>
  </si>
  <si>
    <t>The deal closes on the last day of FY25E, so FY26E is the first full combined year. Pre-close years are intentionally left blank.</t>
  </si>
  <si>
    <t>(+) Acquirer Revenue</t>
  </si>
  <si>
    <t>(+) Target Revenue</t>
  </si>
  <si>
    <t>(+) Revenue Synergies</t>
  </si>
  <si>
    <t>(-) Cost of Revenue Synergies</t>
  </si>
  <si>
    <t>Total Cost of Sales</t>
  </si>
  <si>
    <t>(-) Operating Expenses on Revenue Synergies</t>
  </si>
  <si>
    <t>(+) Expense (Cost) Synergies</t>
  </si>
  <si>
    <t>Pulled from the Synergies tab after the on/off switch and the realisation factor have been applied.</t>
  </si>
  <si>
    <t>(-) Amortisation of Existing Intangibles</t>
  </si>
  <si>
    <t>(-) Depreciation of PP&amp;E Write-Up</t>
  </si>
  <si>
    <t>New non-cash D&amp;A created by purchase accounting. Management's 'accretive in year one' claim excludes exactly these two lines.</t>
  </si>
  <si>
    <t>(-) Amortisation of New Intangibles</t>
  </si>
  <si>
    <t>(-) New Merger &amp; Integration Costs</t>
  </si>
  <si>
    <t>(-) Interest Expense on Existing Debt</t>
  </si>
  <si>
    <t>(-) Interest on New Transaction Debt</t>
  </si>
  <si>
    <t>Charged on the OPENING balance of the new debt each year, which is what keeps the model free of circular references.</t>
  </si>
  <si>
    <t>(-) Amortisation of New Debt Issuance Fees</t>
  </si>
  <si>
    <t>(-) Foregone Interest on Cash Used</t>
  </si>
  <si>
    <t>Earned on the combined opening cash balance, which is already net of the cash spent at close.</t>
  </si>
  <si>
    <t>Pro-Forma Net Income</t>
  </si>
  <si>
    <t>(+) Acquirer Diluted Shares</t>
  </si>
  <si>
    <t>(+) Shares Issued in the Transaction</t>
  </si>
  <si>
    <t>Total Pro-Forma Diluted Shares</t>
  </si>
  <si>
    <t>Acquirer Standalone EPS</t>
  </si>
  <si>
    <t>Pro-Forma EPS</t>
  </si>
  <si>
    <t>Accretion / (Dilution)</t>
  </si>
  <si>
    <t>Memo: Pro-Forma EPS excl. Integration Costs &amp; Purchase Accounting</t>
  </si>
  <si>
    <t>This is the basis on which management claims year-one accretion. Reconciling the two lines is the answer to case question 1.</t>
  </si>
  <si>
    <t>7.  COMBINED CASH FLOW &amp; DEBT SCHEDULE</t>
  </si>
  <si>
    <t>(+) Amortisation of Existing Intangibles</t>
  </si>
  <si>
    <t>(+) Depreciation of PP&amp;E Write-Up</t>
  </si>
  <si>
    <t>(+) Amortisation of New Intangibles</t>
  </si>
  <si>
    <t>(+) Amortisation of New Debt Issuance Fees</t>
  </si>
  <si>
    <t>(+/-) Change in Working Capital</t>
  </si>
  <si>
    <t>(-) Existing Debt Repayments</t>
  </si>
  <si>
    <t>(-) New Transaction Debt Repayments</t>
  </si>
  <si>
    <t>Both legacy dividend streams are maintained; no synergy is assumed in capital returns.</t>
  </si>
  <si>
    <t>(-) Mandatory Amortisation</t>
  </si>
  <si>
    <t>Total Combined Debt</t>
  </si>
  <si>
    <t>EBITDA / Total Interest Expense</t>
  </si>
  <si>
    <t>Live formula grids (not Excel data tables) so they recalculate anywhere, including in Sheets and LibreOffice.</t>
  </si>
  <si>
    <t>Because both the cost synergy and the cost to achieve scale linearly with the realisation factor, the grids below are exact rather than approximations. Target share count and purchase accounting are held at base-case levels.</t>
  </si>
  <si>
    <t>FY26E Pro-Forma Net Income excl. expense synergies &amp; costs to achieve</t>
  </si>
  <si>
    <t>FY26E expense synergies net of costs to achieve, at 100% realisation (pre-tax)</t>
  </si>
  <si>
    <t>FY28E Pro-Forma Net Income excl. expense synergies &amp; costs to achieve</t>
  </si>
  <si>
    <t>FY28E expense synergies net of costs to achieve, at 100% realisation (pre-tax)</t>
  </si>
  <si>
    <t>Expense Synergy</t>
  </si>
  <si>
    <t>Realisation Factor</t>
  </si>
  <si>
    <t>New Debt - Premium to Acquirer's Cost of Debt</t>
  </si>
  <si>
    <t>New Debt - Annual Amortisation</t>
  </si>
  <si>
    <t>New Debt - Pre-Tax Interest Rate</t>
  </si>
  <si>
    <t>New Debt - Maturity</t>
  </si>
  <si>
    <t xml:space="preserve"> (end of FY25E)</t>
  </si>
  <si>
    <t>Cost synergies are built bottom-up from headcount; revenue synergies from cross-selling Calder's flow-control lines through Meridian's branch network. Both are switched on/off from the Merger_Model tab.</t>
  </si>
  <si>
    <t>1.  EXPENSE (COST) SYNERGIES — BUILT FROM HEADCOUNT</t>
  </si>
  <si>
    <t>The single most scrutinised number in the deal. Building it off a named reduction in force makes it defensible rather than a plug.</t>
  </si>
  <si>
    <t># people</t>
  </si>
  <si>
    <t>Duplicate corporate, finance, IT and branch-administration roles at Calder. Ramps over three years, then holds flat.</t>
  </si>
  <si>
    <t>Overlapping branch and distribution-centre roles at Meridian in markets where the two networks overlap.</t>
  </si>
  <si>
    <t>Gross Run-Rate Expense Synergies</t>
  </si>
  <si>
    <t>(x) Realisation Factor</t>
  </si>
  <si>
    <t>Master haircut on cost synergies, set on Merger_Model. 100% = management's plan delivered in full; this is the key variable in the EPS and IRR sensitivities.</t>
  </si>
  <si>
    <t>Realised Expense Synergies</t>
  </si>
  <si>
    <t>Multiplied by the Include Expense Synergies switch (1/0) on Merger_Model.</t>
  </si>
  <si>
    <t>2.  REVENUE SYNERGIES — CROSS-SELL INTO THE ACQUIRER'S NETWORK</t>
  </si>
  <si>
    <t>Deliberately modest versus the sell-side case: only two of Calder's five segments are assumed to benefit, and only through Meridian's existing branches.</t>
  </si>
  <si>
    <t>Uplift to Target Segment Revenue:</t>
  </si>
  <si>
    <t>Valves and pumps are the two lines Meridian's 230 branches can carry immediately; engineered assemblies and instrumentation need specification selling and are excluded.</t>
  </si>
  <si>
    <t>(+) Incremental Revenue</t>
  </si>
  <si>
    <t>(-) Incremental Cost of Sales</t>
  </si>
  <si>
    <t>Costed at Calder's existing gross margin — no assumption that incremental volume is more profitable than the base business.</t>
  </si>
  <si>
    <t>(-) Incremental Operating Expenses</t>
  </si>
  <si>
    <t>Charged at Calder's existing SG&amp;A margin, so the revenue synergy carries a full cost load rather than dropping straight to EBIT.</t>
  </si>
  <si>
    <t>Incremental Operating Income</t>
  </si>
  <si>
    <t>3.  MERGER &amp; INTEGRATION COSTS TO ACHIEVE</t>
  </si>
  <si>
    <t>Synergies are never free. Following the case convention, total costs to achieve equal 100% of the Year 3 run-rate cost synergy.</t>
  </si>
  <si>
    <t>Integration Costs % of Year 3 Expense Synergies</t>
  </si>
  <si>
    <t>Total Merger &amp; Integration Costs</t>
  </si>
  <si>
    <t>Sized off the GROSS Year 3 (FY28E) run-rate saving and scaled by the realisation factor — if you only capture half the savings you only spend half the cost to get them.</t>
  </si>
  <si>
    <t>Annual Recognition</t>
  </si>
  <si>
    <t>Severance, branch closure and systems-migration spend is front-loaded: two-thirds in Year 1, one-third in Year 2.</t>
  </si>
  <si>
    <t>Merger &amp; Integration Costs</t>
  </si>
  <si>
    <t>4.  NET PRE-TAX SYNERGY EFFECT</t>
  </si>
  <si>
    <t>Total Pre-Tax Synergies, Net of Costs to Achieve</t>
  </si>
  <si>
    <t>(-) Tax Effect</t>
  </si>
  <si>
    <t>After-Tax Synergies, Net of Costs to Achieve</t>
  </si>
  <si>
    <t>5.  VALUE OF SYNERGIES TO THE ACQUIRER vs. PREMIUM PAID</t>
  </si>
  <si>
    <t>The acid test: is the acquirer handing more value to the target's shareholders than the synergies are worth?</t>
  </si>
  <si>
    <t>Discount Rate (Acquirer's WACC)</t>
  </si>
  <si>
    <t>Long-Term Growth Rate of Synergies</t>
  </si>
  <si>
    <t>Below long-run inflation — cost savings erode as wages reset and competitors respond.</t>
  </si>
  <si>
    <t>After-Tax Synergy Cash Flow</t>
  </si>
  <si>
    <t>(+) Terminal Value of Synergies</t>
  </si>
  <si>
    <t>Perpetuity growth on the Year 5 after-tax run-rate. By then the costs to achieve are behind us, so this capitalises a clean recurring saving.</t>
  </si>
  <si>
    <t>Discount Period</t>
  </si>
  <si>
    <t>Present Value</t>
  </si>
  <si>
    <t>Present Value of Synergies</t>
  </si>
  <si>
    <t>Equity Purchase Premium Paid</t>
  </si>
  <si>
    <t>PV of Synergies / Premium Paid</t>
  </si>
  <si>
    <t>Above 1.0x the synergies more than pay for the premium — but note how much of that value sits in the terminal value, and how quickly it falls away in the realisation sensitivity.</t>
  </si>
  <si>
    <t>Target - Reduction in Force</t>
  </si>
  <si>
    <t>Target - SG&amp;A Cost per Employee</t>
  </si>
  <si>
    <t>Target - Cost Savings</t>
  </si>
  <si>
    <t>Synergy Estimates - Meridian Industrial Supply, Inc. / Calder Fluid &amp; Flow Systems, Inc.</t>
  </si>
  <si>
    <t>Acquirer - Reduction in Force</t>
  </si>
  <si>
    <t>Acquirer - SG&amp;A Cost per Employee</t>
  </si>
  <si>
    <t>Acquirer - Cost Savings</t>
  </si>
  <si>
    <t>Balance Sheet Combination at Close — MIDS / CFFS</t>
  </si>
  <si>
    <t>Opening pro-forma balance sheet as at the 12/31/2025 close date. This is a point-in-time purchase-accounting exercise; the combined balance sheet is not projected forward.</t>
  </si>
  <si>
    <t>PRO-FORMA BALANCE SHEET AT CLOSE (FY25E)</t>
  </si>
  <si>
    <t>Column H isolates every acquisition adjustment so a reviewer can trace each one back to the Sources &amp; Uses and the PPA.</t>
  </si>
  <si>
    <t>Acquirer FY25E</t>
  </si>
  <si>
    <t>Target FY25E</t>
  </si>
  <si>
    <t>Adjustments</t>
  </si>
  <si>
    <t>Pro-Forma</t>
  </si>
  <si>
    <t>Cash consideration plus advisory, legal and debt financing fees all settle out of the combined cash balance at close.</t>
  </si>
  <si>
    <t>Written up to fair value per the PPA.</t>
  </si>
  <si>
    <t>Target's historical goodwill is written off in full and replaced with the goodwill created in this transaction.</t>
  </si>
  <si>
    <t>Trade names and customer relationships recognised for the first time on acquisition.</t>
  </si>
  <si>
    <t>Existing Debt</t>
  </si>
  <si>
    <t>Calder's debt is refinanced on identical terms so the principal is unchanged; only the capitalised financing fee moves the carrying value.</t>
  </si>
  <si>
    <t>New Transaction Debt</t>
  </si>
  <si>
    <t>Recognised net of capitalised issuance fees, which are then amortised to interest expense over the five-year term.</t>
  </si>
  <si>
    <t>Historical DTL is eliminated and a new one booked on the non-deductible asset write-ups.</t>
  </si>
  <si>
    <t>Target's book equity is eliminated, the stock consideration is added to the acquirer's equity, and advisory and legal fees are expensed straight against equity.</t>
  </si>
  <si>
    <t>Memo: Accretion / (Dilution) - Management Basis</t>
  </si>
  <si>
    <t>Merger Model -Meridian Industrial Supply, Inc. (MIDS) / Calder Fluid &amp; Flow Systems, Inc. (CFFS)</t>
  </si>
  <si>
    <t>Treasury stock method re-run at the OFFER price, not the market price -a higher offer pulls more options into the money and raises the share count being bought.</t>
  </si>
  <si>
    <t>Credit-agreement style ceiling. At 4.0x the combined company would sit at the top of the range peers can carry -arguably too far, which is the point of case question 3.</t>
  </si>
  <si>
    <t>Cash spent on the deal stops earning interest -a real, if small, cost of the cash component.</t>
  </si>
  <si>
    <t>(-) Cost of Sales -Acquirer</t>
  </si>
  <si>
    <t>(-) Cost of Sales -Target</t>
  </si>
  <si>
    <t>(-) SG&amp;A -Acquirer</t>
  </si>
  <si>
    <t>(-) SG&amp;A -Target</t>
  </si>
  <si>
    <t>FULLY LOADED result -includes costs to achieve and purchase-accounting D&amp;A. This is the number to lead with.</t>
  </si>
  <si>
    <t>Year 1 opens with the pro-forma cash balance struck on the Combined_BS tab -i.e. after the cash consideration and fees have been paid out.</t>
  </si>
  <si>
    <t>New Transaction Debt -Opening Balance</t>
  </si>
  <si>
    <t>1% of original principal per year, with the balance due at maturity in Year 5 -standard term-loan B style amortisation.</t>
  </si>
  <si>
    <t>New Transaction Debt -Closing Balance</t>
  </si>
  <si>
    <t>8.  COMBINED COMPANY -KEY METRICS &amp; CREDIT RATIOS</t>
  </si>
  <si>
    <t>Watch this line under structure 1 -it is the binding constraint on how much of the deal can be debt-funded.</t>
  </si>
  <si>
    <t>Sensitivity engine -inputs held constant across the grids:</t>
  </si>
  <si>
    <t>Sensitivity 1 -COMBINED YEAR 1 (FY26E) EPS Accretion / (Dilution)</t>
  </si>
  <si>
    <t>Sensitivity 2 -COMBINED YEAR 3 (FY28E) EPS Accretion / (Dilution)</t>
  </si>
  <si>
    <t>Ten-year unlevered DCF on Calder standalone, plus the IRR the acquirer earns on the purchase price once synergies are included. Notes are in column R.</t>
  </si>
  <si>
    <t>1.  DCF ASSUMPTIONS &amp; OUTPUT</t>
  </si>
  <si>
    <t>Discount Rate (Target WACC)</t>
  </si>
  <si>
    <t>Pulled from the WACC tab — Calder's own capital structure, not the acquirer's.</t>
  </si>
  <si>
    <t>Mid-Year Convention (1 = Yes, 0 = No)</t>
  </si>
  <si>
    <t>Cash flows are assumed to arrive evenly through the year rather than all on 31 December.</t>
  </si>
  <si>
    <t>Terminal FCF Growth Rate</t>
  </si>
  <si>
    <t>Below long-run nominal GDP. Higher than it would have been a decade ago because the whole rate and inflation structure is higher — the discount rate reflects the same shift.</t>
  </si>
  <si>
    <t>Terminal EBITDA Multiple</t>
  </si>
  <si>
    <t>Cross-check on the growth method; set slightly below today's trading comps to reflect a more mature business by FY34.</t>
  </si>
  <si>
    <t>Terminal Discount Period</t>
  </si>
  <si>
    <t>The terminal value is struck at the end of FY34 and discounted a full nine years, even under the mid-year convention.</t>
  </si>
  <si>
    <t>Perpetuity Growth</t>
  </si>
  <si>
    <t>Terminal Multiple</t>
  </si>
  <si>
    <t>Sum of PV of Unlevered Free Cash Flow</t>
  </si>
  <si>
    <t>Terminal Value</t>
  </si>
  <si>
    <t>Two independent routes to the same question: capitalise the final cash flow, or apply an exit multiple to final-year EBITDA.</t>
  </si>
  <si>
    <t>PV of Terminal Value</t>
  </si>
  <si>
    <t>Implied Enterprise Value</t>
  </si>
  <si>
    <t>% of Implied TEV from Terminal Value</t>
  </si>
  <si>
    <t>Above roughly 75% the valuation is really a bet on the terminal assumption rather than on the forecast.</t>
  </si>
  <si>
    <t>(+) Cash &amp; Cash Equivalents</t>
  </si>
  <si>
    <t>(-) Total Debt</t>
  </si>
  <si>
    <t>Net Cash / (Debt) Bridge</t>
  </si>
  <si>
    <t>Implied Equity Value</t>
  </si>
  <si>
    <t>Implied Share Price</t>
  </si>
  <si>
    <t>Premium / (Discount) to Current Price</t>
  </si>
  <si>
    <t>Compare against the 14% offer premium — this is the core evidence for case question 2.</t>
  </si>
  <si>
    <t>Implied Terminal FCF Growth (from the multiple method)</t>
  </si>
  <si>
    <t>Implied Terminal EBITDA Multiple (from the growth method)</t>
  </si>
  <si>
    <t>Sanity check: each method should imply a sensible value for the other's key input. Large divergence means one of the two is wrong.</t>
  </si>
  <si>
    <t>2.  UNLEVERED FREE CASH FLOW PROJECTIONS</t>
  </si>
  <si>
    <t>extended</t>
  </si>
  <si>
    <t>FY25E-FY30E link directly to the Target operating model; FY31E-FY34E are extended here with fading growth and stable margins.</t>
  </si>
  <si>
    <t>Growth fades from 3.0% to 2.25% by FY34 so that the terminal year is a genuine steady state consistent with the terminal growth rate above.</t>
  </si>
  <si>
    <t>Earnings Before Interest &amp; Taxes (EBIT)</t>
  </si>
  <si>
    <t>EBIT Margin</t>
  </si>
  <si>
    <t>Held flat at roughly the FY30E level — margin expansion is assumed to stop once the business is mature.</t>
  </si>
  <si>
    <t>(-) Taxes on EBIT</t>
  </si>
  <si>
    <t>Taxed at the full unlevered rate — the interest tax shield belongs in the WACC, not the cash flow.</t>
  </si>
  <si>
    <t>Net Operating Profit After Tax (NOPAT)</t>
  </si>
  <si>
    <t>(+) Depreciation &amp; Amortisation</t>
  </si>
  <si>
    <t>% of Revenue</t>
  </si>
  <si>
    <t>% of Change in Revenue</t>
  </si>
  <si>
    <t>Growth consumes working capital: roughly 22 cents of receivables and inventory for every extra dollar of revenue.</t>
  </si>
  <si>
    <t>(-) Capital Expenditures, Net of Disposals</t>
  </si>
  <si>
    <t>Net capex converges toward D&amp;A by FY34, consistent with a business no longer adding capacity.</t>
  </si>
  <si>
    <t>Mid-year convention subtracts half a year from each period.</t>
  </si>
  <si>
    <t>Discount Factor</t>
  </si>
  <si>
    <t>PV of Unlevered Free Cash Flow</t>
  </si>
  <si>
    <t>Memo: EBITDA</t>
  </si>
  <si>
    <t>3.  DCF SENSITIVITIES — IMPLIED SHARE PRICE</t>
  </si>
  <si>
    <t>Each cell re-runs the full DCF from the cash-flow row, so these are live formulas rather than static data tables.</t>
  </si>
  <si>
    <t>Grid A — Terminal FCF Growth Rate (columns) vs. Discount Rate (rows)</t>
  </si>
  <si>
    <t>Discount Rate (WACC)</t>
  </si>
  <si>
    <t>Grid B — Terminal EBITDA Multiple (columns) vs. Discount Rate (rows)</t>
  </si>
  <si>
    <t>4.  IRR ON THE ACQUISITION (INCLUDING SYNERGIES)</t>
  </si>
  <si>
    <t>Treats the deal as an investment: pay the purchase enterprise value today, receive Calder's unlevered cash flow plus synergies.</t>
  </si>
  <si>
    <t>Acquirer's WACC (hurdle rate)</t>
  </si>
  <si>
    <t>Long-Term Growth Rate</t>
  </si>
  <si>
    <t>Synergy Realisation Factor</t>
  </si>
  <si>
    <t>Close</t>
  </si>
  <si>
    <t>Target Unlevered Free Cash Flow</t>
  </si>
  <si>
    <t>(+) After-Tax Synergies, Net of Costs to Achieve</t>
  </si>
  <si>
    <t>Memo: the same at 100% realisation</t>
  </si>
  <si>
    <t>(+) Terminal Value</t>
  </si>
  <si>
    <t>Perpetuity on the Year 5 combined cash flow, discounted at the acquirer's WACC.</t>
  </si>
  <si>
    <t>Total Cash Flow to the Acquirer</t>
  </si>
  <si>
    <t>Internal Rate of Return (IRR)</t>
  </si>
  <si>
    <t>IRR less Acquirer's WACC (value spread)</t>
  </si>
  <si>
    <t>A positive spread means the deal earns more than the cost of the capital used to fund it — the cleanest single test of whether the price is justified.</t>
  </si>
  <si>
    <t>Sensitivity A — IRR vs. Purchase Enterprise Value</t>
  </si>
  <si>
    <t>Each row is a complete cash-flow stream with only the entry price changed, so IRR() can be applied directly.</t>
  </si>
  <si>
    <t>Purchase TEV at 85% of base</t>
  </si>
  <si>
    <t>Purchase TEV at 92% of base</t>
  </si>
  <si>
    <t>Purchase TEV at 100% of base</t>
  </si>
  <si>
    <t>Purchase TEV at 108% of base</t>
  </si>
  <si>
    <t>Purchase TEV at 115% of base</t>
  </si>
  <si>
    <t>Sensitivity B — IRR vs. Expense Synergy Realisation</t>
  </si>
  <si>
    <t>The deal's return is highly geared to synergy delivery — at zero realisation the IRR collapses toward the standalone cash-flow yield.</t>
  </si>
  <si>
    <t>Synergies realised at 125%</t>
  </si>
  <si>
    <t>Synergies realised at 100%</t>
  </si>
  <si>
    <t>Synergies realised at 75%</t>
  </si>
  <si>
    <t>Synergies realised at 50%</t>
  </si>
  <si>
    <t>Synergies realised at 25%</t>
  </si>
  <si>
    <t>Synergies realised at 0%</t>
  </si>
  <si>
    <t>Calder Fluid &amp; Flow Systems, Inc. - Discounted Cash Flow Valuation &amp; Acquisition IRR</t>
  </si>
  <si>
    <t>Year 1 is dilutive across the entire plausible range of both variables, delivering more of the synergy plan makes Year 1 worse</t>
  </si>
  <si>
    <t>By Year 3 the integration spend is complete and the full run-rate saving is in the numbers, so the relationship inverts and accretion becomes strongly geared to delivery (expense realisation factor)</t>
  </si>
  <si>
    <t>Control transactions announced 2020-2024 with enterprise values between $700m and $4bn in comparable end markets.</t>
  </si>
  <si>
    <t>SELECTED PRECEDENT TRANSACTIONS</t>
  </si>
  <si>
    <t>Announced</t>
  </si>
  <si>
    <t>LTM Revenue</t>
  </si>
  <si>
    <t>LTM EBITDA</t>
  </si>
  <si>
    <t>Verity Bearing Corporation</t>
  </si>
  <si>
    <t>Nov-2024</t>
  </si>
  <si>
    <t>Thorne Pipe &amp; Supply Co.</t>
  </si>
  <si>
    <t>Jun-2024</t>
  </si>
  <si>
    <t>Redgate Fastener Group</t>
  </si>
  <si>
    <t>Feb-2024</t>
  </si>
  <si>
    <t>Hollis Capital Partners</t>
  </si>
  <si>
    <t>Marchand Flow Group</t>
  </si>
  <si>
    <t>Sep-2023</t>
  </si>
  <si>
    <t>Ostrander Valve Company</t>
  </si>
  <si>
    <t>Apr-2023</t>
  </si>
  <si>
    <t>Pinehurst Industrial Distribution</t>
  </si>
  <si>
    <t>Nov-2022</t>
  </si>
  <si>
    <t>Caldicott Power Products</t>
  </si>
  <si>
    <t>May-2021</t>
  </si>
  <si>
    <t>Brightwater Partners LLC</t>
  </si>
  <si>
    <t>Halvorsen Process Equipment</t>
  </si>
  <si>
    <t>Aug-2020</t>
  </si>
  <si>
    <t>Precedent Transactions -Industrial Distribution &amp; Flow Control</t>
  </si>
  <si>
    <t>This Transaction -Calder Fluid &amp; Flow Systems</t>
  </si>
  <si>
    <t>The proposed price sits below the precedent median -the basis for arguing the offer is fair to Meridian, and that Calder's board may push for more.</t>
  </si>
  <si>
    <t xml:space="preserve">Precedents carry a control premium, so they typically print above the trading comps. </t>
  </si>
  <si>
    <t>Asks a different question from a DCF: if each side contributes X% of the combined company's earnings, should it not own X% of it? Each metric implies its own 'fair' exchange ratio.</t>
  </si>
  <si>
    <t>1.  CONTRIBUTION BY METRIC</t>
  </si>
  <si>
    <t>Ownership under the proposed deal is shown at the bottom for comparison against each metric's implied split.</t>
  </si>
  <si>
    <t>Acquirer %</t>
  </si>
  <si>
    <t>Target %</t>
  </si>
  <si>
    <t>Implied Combined Equity Value</t>
  </si>
  <si>
    <t>Target Implied Equity Value</t>
  </si>
  <si>
    <t>Implied Exchange Ratio</t>
  </si>
  <si>
    <t>Implied Price / Share</t>
  </si>
  <si>
    <t>Implied Premium</t>
  </si>
  <si>
    <t>Equity Value (Undisturbed)</t>
  </si>
  <si>
    <t>Revenue-based contribution flatters Calder least: it is the smaller but higher-margin business, so it contributes more EBITDA than revenue.</t>
  </si>
  <si>
    <t>Total Assets at Close</t>
  </si>
  <si>
    <t>Common Shareholders' Equity at Close</t>
  </si>
  <si>
    <t>PROPOSED TRANSACTION</t>
  </si>
  <si>
    <t>Exchange Ratio Offered</t>
  </si>
  <si>
    <t>Offer Price per Share</t>
  </si>
  <si>
    <t>Premium Offered</t>
  </si>
  <si>
    <t>Compare the target's pro-forma ownership against its contribution percentages above. Owning materially more than it contributes on earnings is the quantitative case that the exchange ratio is too generous.</t>
  </si>
  <si>
    <t>Relative Contribution Analysis -MIDS / CFFS</t>
  </si>
  <si>
    <t>Combined equity value is inferred as the acquirer's own market value divided by its contribution percentage -i.e. the market's view of Meridian is taken as given and Calder is valued off it.</t>
  </si>
  <si>
    <t>Revenue -FY26E</t>
  </si>
  <si>
    <t>Revenue -FY27E</t>
  </si>
  <si>
    <t>EBITDA -FY26E</t>
  </si>
  <si>
    <t>EBITDA -FY27E</t>
  </si>
  <si>
    <t>EBIT -FY26E</t>
  </si>
  <si>
    <t>Net Income -FY26E</t>
  </si>
  <si>
    <t>Net Income -FY27E</t>
  </si>
  <si>
    <t>Pro-Forma Ownership -Acquirer</t>
  </si>
  <si>
    <t>Pro-Forma Ownership -Target</t>
  </si>
  <si>
    <t>Value Creation Analysis — MIDS / CFFS Combined Entity</t>
  </si>
  <si>
    <t>Treats the combined company as a new, larger comparable and asks what it would be worth if the market re-rated it toward the multiples that larger, more diversified industrial platforms command.</t>
  </si>
  <si>
    <t>1.  REFERENCE MULTIPLES</t>
  </si>
  <si>
    <t>Standalone Entities</t>
  </si>
  <si>
    <t>Larger-Cap Diversified Industrial Platforms</t>
  </si>
  <si>
    <t>Vantar Industrial Holdings</t>
  </si>
  <si>
    <t>VNTR</t>
  </si>
  <si>
    <t>Both trade at a premium to Meridian on scale, end-market diversification and margin. Whether the combined company earns that premium is the whole question.</t>
  </si>
  <si>
    <t>Coventree Global Technologies</t>
  </si>
  <si>
    <t>CVGT</t>
  </si>
  <si>
    <t>Average of Larger-Cap Platforms</t>
  </si>
  <si>
    <t>2.  IMPLIED VALUE OF THE COMBINED ENTITY (FY26E)</t>
  </si>
  <si>
    <t>Acquirer FY26E EBITDA</t>
  </si>
  <si>
    <t>(+) Target FY26E EBITDA</t>
  </si>
  <si>
    <t>(+) Synergies, Net of Costs to Achieve</t>
  </si>
  <si>
    <t>Pre-tax synergies less the costs to achieve — in Year 1 the costs still outweigh the savings, which is why the early-year figure is small or negative.</t>
  </si>
  <si>
    <t>Combined FY26E EBITDA</t>
  </si>
  <si>
    <t>Applied TEV / EBITDA Multiple</t>
  </si>
  <si>
    <t>Implied Combined Enterprise Value</t>
  </si>
  <si>
    <t>(+) Combined Cash at FY26E</t>
  </si>
  <si>
    <t>(-) Combined Debt at FY26E</t>
  </si>
  <si>
    <t>Pro-Forma Diluted Shares</t>
  </si>
  <si>
    <t>Acquirer Share Price Prior to the Transaction</t>
  </si>
  <si>
    <t>Per-Share Value Created / (Destroyed)</t>
  </si>
  <si>
    <t>This is a RE-RATING result, not purely a synergy result. It only materialises if the market awards the combined company large-cap multiples.</t>
  </si>
  <si>
    <t>% Value Created / (Destroyed)</t>
  </si>
  <si>
    <t>LIKE-FOR-LIKE TEST — FY28E (Year 3), holding Meridian's OWN multiple constant</t>
  </si>
  <si>
    <t>Meridian standalone FY28E implied price per share</t>
  </si>
  <si>
    <t>Both sides are valued in the SAME year at the SAME multiple, so the only difference between them is the synergies net of the shares issued to pay for Calder.</t>
  </si>
  <si>
    <t>Combined entity FY28E implied price per share</t>
  </si>
  <si>
    <t>Per-share value created, synergies only (no re-rating)</t>
  </si>
  <si>
    <t>This is the honest, synergy-only answer and the number to lead with in front of a sceptical board. The headline figure above additionally requires the market to re-rate the combined company toward large-cap multiples — something the acquirer does not control.</t>
  </si>
  <si>
    <t>% value created, synergies only</t>
  </si>
  <si>
    <t>3.  SENSITIVITIES — PER-SHARE VALUE CREATED</t>
  </si>
  <si>
    <t>Grid A — Combined FY26E TEV / EBITDA Multiple (columns) vs. Exchange Ratio (rows)</t>
  </si>
  <si>
    <t>Paying a higher exchange ratio hands more of the combined company to Calder's holders, so value created falls as you move down the rows.</t>
  </si>
  <si>
    <t>Grid B — Combined FY26E TEV / EBITDA Multiple (columns) vs. Synergy Adjustment (rows)</t>
  </si>
  <si>
    <t>Replaces the modelled Year 1 synergy with a flat dollar assumption, so a reviewer can see how much of the value creation is synergy versus re-rating.</t>
  </si>
  <si>
    <t>Synergy Adjustment ($M)</t>
  </si>
  <si>
    <t>MERGER MODEL &amp; ACQUISITION ANALYSIS</t>
  </si>
  <si>
    <t>Meridian Industrial Supply, Inc. (MIDS)  proposed acquisition of  Calder Fluid &amp; Flow Systems, Inc. (CFFS)</t>
  </si>
  <si>
    <t>All figures in $ millions except per-share data.  All companies, figures and market data are fictional and were created for this exercise.</t>
  </si>
  <si>
    <t>TRANSACTION SNAPSHOT</t>
  </si>
  <si>
    <t>Proposed Structure</t>
  </si>
  <si>
    <t>100% stock (switchable to a cash / debt / stock mix)</t>
  </si>
  <si>
    <t>1.4000x</t>
  </si>
  <si>
    <t>Premium to Undisturbed Price</t>
  </si>
  <si>
    <t>Run-Rate Cost Synergies by Year 3</t>
  </si>
  <si>
    <t>Combined Year 1 EPS Accretion / (Dilution)</t>
  </si>
  <si>
    <t>Combined Year 3 EPS Accretion / (Dilution)</t>
  </si>
  <si>
    <t>HOW TO READ THIS MODEL</t>
  </si>
  <si>
    <t>Colour convention</t>
  </si>
  <si>
    <t>Blue — hardcoded input or scenario lever. These are the only cells intended to be edited.</t>
  </si>
  <si>
    <t>Black — a formula calculated on the same tab.</t>
  </si>
  <si>
    <t>Green — a live link to another tab.</t>
  </si>
  <si>
    <t>Grey italics — commentary explaining the assumption or methodology (column M on most tabs).</t>
  </si>
  <si>
    <t>Key levers</t>
  </si>
  <si>
    <t>Merger_Model E9 — transaction structure: 2 = 100% stock, 1 = cash / debt / stock mix.</t>
  </si>
  <si>
    <t>Merger_Model E10 / E11 — switch revenue and expense synergies on or off.</t>
  </si>
  <si>
    <t>Merger_Model E12 — expense synergy realisation factor, the single most important variable in the model.</t>
  </si>
  <si>
    <t>Merger_Model E14 — exchange ratio, which drives both the price paid and the ownership split.</t>
  </si>
  <si>
    <t xml:space="preserve">  Acquirer balance sheet (FY30E)</t>
  </si>
  <si>
    <t xml:space="preserve">  Target balance sheet (FY30E)</t>
  </si>
  <si>
    <t xml:space="preserve">  Pro-forma opening balance sheet</t>
  </si>
  <si>
    <t xml:space="preserve">  Sources less uses of funds</t>
  </si>
  <si>
    <t>TAB INDEX</t>
  </si>
  <si>
    <t>Merger_Model</t>
  </si>
  <si>
    <t>Deal assumptions, sources &amp; uses, purchase price allocation, combined income statement and cash flow, EPS accretion and sensitivities.</t>
  </si>
  <si>
    <t>Meridian standalone three-statement operating model, FY24A-FY30E.</t>
  </si>
  <si>
    <t>Calder standalone three-statement operating model, FY24A-FY30E.</t>
  </si>
  <si>
    <t>Synergies</t>
  </si>
  <si>
    <t>Headcount-driven cost synergies, cross-sell revenue synergies, costs to achieve, and the PV of synergies versus the premium paid.</t>
  </si>
  <si>
    <t>Combined_BS</t>
  </si>
  <si>
    <t>Purchase-accounting balance sheet combination at the close date.</t>
  </si>
  <si>
    <t>DCF_IRR</t>
  </si>
  <si>
    <t>Ten-year unlevered DCF of the target and the acquirer's IRR on the transaction, with sensitivities.</t>
  </si>
  <si>
    <t>WACC</t>
  </si>
  <si>
    <t>Peer beta unlevering and re-levering; discount rates for both companies.</t>
  </si>
  <si>
    <t>Pub_Comps</t>
  </si>
  <si>
    <t>Trading comparables for the sector.</t>
  </si>
  <si>
    <t>MA_Comps</t>
  </si>
  <si>
    <t>Precedent control transactions.</t>
  </si>
  <si>
    <t>Contrib</t>
  </si>
  <si>
    <t>Relative contribution analysis and the exchange ratio each metric implies.</t>
  </si>
  <si>
    <t>Value_Creation</t>
  </si>
  <si>
    <t>Combined entity valued against larger-cap platform multiples.</t>
  </si>
  <si>
    <t>($ in Millions Except Per Share and Per Unit Data)</t>
  </si>
  <si>
    <t>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</si>
</sst>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164" formatCode="yyyy\-mm\-dd"/>
    <numFmt numFmtId="165" formatCode="0.0%;\(0.0%\)"/>
    <numFmt numFmtId="166" formatCode="_(* #,##0.0_);_(* \(#,##0.0\);_(* &quot;-&quot;?_);_(@_)"/>
    <numFmt numFmtId="167" formatCode="0.000"/>
    <numFmt numFmtId="168" formatCode="&quot;FY&quot;yy"/>
    <numFmt numFmtId="169" formatCode="_(* #,##0.000_);_(* \(#,##0.000\);_(* &quot;-&quot;???_);_(@_)"/>
    <numFmt numFmtId="170" formatCode="_-* #,##0.00\ [$€-40C]_-;\-* #,##0.00\ [$€-40C]_-;_-* &quot;-&quot;??\ [$€-40C]_-;_-@_-"/>
    <numFmt numFmtId="171" formatCode="0.0%"/>
    <numFmt numFmtId="172" formatCode="#,##0.000;\(#,##0.000\);\-"/>
    <numFmt numFmtId="173" formatCode="#,##0.0;\(#,##0.0\);\-"/>
    <numFmt numFmtId="174" formatCode="0.0%;\(0.0%\);\-"/>
    <numFmt numFmtId="175" formatCode="#,##0;\(#,##0\);\-"/>
    <numFmt numFmtId="176" formatCode="\$#,##0;&quot;($&quot;#,##0\);\-"/>
    <numFmt numFmtId="177" formatCode="0.00%;\(0.00%\);\-"/>
    <numFmt numFmtId="178" formatCode="0.00\x;\(0.00&quot;x)&quot;;\-"/>
    <numFmt numFmtId="179" formatCode="#,##0.00;\(#,##0.00\);\-"/>
    <numFmt numFmtId="180" formatCode="0.0"/>
    <numFmt numFmtId="181" formatCode="_(&quot;$&quot;* #,##0.000_);_(&quot;$&quot;* \(#,##0.000\);_(&quot;$&quot;* &quot;-&quot;??_);_(@_)"/>
    <numFmt numFmtId="182" formatCode="\$#,##0.00;&quot;($&quot;#,##0.00\);\-"/>
    <numFmt numFmtId="183" formatCode="0.0000\x"/>
    <numFmt numFmtId="184" formatCode="#,##0&quot; bps&quot;"/>
  </numFmts>
  <fonts count="47" x14ac:knownFonts="1">
    <font>
      <sz val="12"/>
      <color theme="1"/>
      <name val="Aptos Narrow"/>
      <family val="2"/>
      <scheme val="minor"/>
    </font>
    <font>
      <sz val="12"/>
      <color theme="1"/>
      <name val="Aptos Narrow"/>
      <family val="2"/>
      <scheme val="minor"/>
    </font>
    <font>
      <b/>
      <sz val="15"/>
      <color theme="3"/>
      <name val="Aptos Narrow"/>
      <family val="2"/>
      <scheme val="minor"/>
    </font>
    <font>
      <b/>
      <sz val="12"/>
      <color theme="1"/>
      <name val="Aptos Narrow"/>
      <family val="2"/>
      <scheme val="minor"/>
    </font>
    <font>
      <sz val="10"/>
      <name val="Arial"/>
      <family val="2"/>
    </font>
    <font>
      <sz val="11"/>
      <color theme="1"/>
      <name val="Aptos Narrow"/>
      <family val="2"/>
      <scheme val="minor"/>
    </font>
    <font>
      <sz val="11"/>
      <color theme="1"/>
      <name val="Calibri"/>
      <family val="2"/>
    </font>
    <font>
      <sz val="8"/>
      <color indexed="8"/>
      <name val="Arial"/>
      <family val="2"/>
    </font>
    <font>
      <sz val="11"/>
      <color rgb="FF0000FF"/>
      <name val="Calibri"/>
      <family val="2"/>
    </font>
    <font>
      <sz val="10"/>
      <color rgb="FF0000FF"/>
      <name val="Arial"/>
      <family val="2"/>
    </font>
    <font>
      <b/>
      <sz val="10"/>
      <color rgb="FF000000"/>
      <name val="Arial"/>
      <family val="2"/>
    </font>
    <font>
      <i/>
      <sz val="10"/>
      <name val="Arial"/>
      <family val="2"/>
    </font>
    <font>
      <i/>
      <sz val="9"/>
      <color rgb="FF808080"/>
      <name val="Arial"/>
      <family val="2"/>
    </font>
    <font>
      <sz val="10"/>
      <color rgb="FF000000"/>
      <name val="Arial"/>
      <family val="2"/>
    </font>
    <font>
      <sz val="12"/>
      <color theme="1" tint="0.34998626667073579"/>
      <name val="Aptos Narrow"/>
      <family val="2"/>
      <scheme val="minor"/>
    </font>
    <font>
      <b/>
      <i/>
      <sz val="10"/>
      <color rgb="FF000000"/>
      <name val="Arial"/>
      <family val="2"/>
    </font>
    <font>
      <sz val="12"/>
      <color theme="1"/>
      <name val="Arial"/>
      <family val="2"/>
    </font>
    <font>
      <b/>
      <sz val="10"/>
      <color theme="1"/>
      <name val="Arial"/>
      <family val="2"/>
    </font>
    <font>
      <sz val="10"/>
      <color theme="1"/>
      <name val="Arial"/>
      <family val="2"/>
    </font>
    <font>
      <b/>
      <sz val="10"/>
      <color theme="0"/>
      <name val="Arial"/>
      <family val="2"/>
    </font>
    <font>
      <b/>
      <i/>
      <sz val="10"/>
      <color theme="0"/>
      <name val="Arial"/>
      <family val="2"/>
    </font>
    <font>
      <i/>
      <sz val="10"/>
      <color theme="1" tint="0.34998626667073579"/>
      <name val="Arial"/>
      <family val="2"/>
    </font>
    <font>
      <b/>
      <i/>
      <sz val="10"/>
      <color theme="1" tint="0.34998626667073579"/>
      <name val="Arial"/>
      <family val="2"/>
    </font>
    <font>
      <sz val="10"/>
      <color theme="1" tint="0.34998626667073579"/>
      <name val="Arial"/>
      <family val="2"/>
    </font>
    <font>
      <sz val="10"/>
      <color theme="0"/>
      <name val="Arial"/>
      <family val="2"/>
    </font>
    <font>
      <i/>
      <sz val="10"/>
      <color theme="0"/>
      <name val="Arial"/>
      <family val="2"/>
    </font>
    <font>
      <i/>
      <sz val="10"/>
      <color theme="1"/>
      <name val="Arial"/>
      <family val="2"/>
    </font>
    <font>
      <b/>
      <sz val="10"/>
      <color rgb="FF0000FF"/>
      <name val="Arial"/>
      <family val="2"/>
    </font>
    <font>
      <sz val="10"/>
      <color rgb="FF808080"/>
      <name val="Arial"/>
      <family val="2"/>
    </font>
    <font>
      <b/>
      <sz val="10"/>
      <color rgb="FFFFFFFF"/>
      <name val="Arial"/>
      <family val="2"/>
    </font>
    <font>
      <b/>
      <sz val="10"/>
      <color rgb="FF008000"/>
      <name val="Arial"/>
      <family val="2"/>
    </font>
    <font>
      <b/>
      <i/>
      <sz val="10"/>
      <color rgb="FFFFFFFF"/>
      <name val="Arial"/>
      <family val="2"/>
    </font>
    <font>
      <sz val="10"/>
      <color rgb="FFFFFFFF"/>
      <name val="Arial"/>
      <family val="2"/>
    </font>
    <font>
      <i/>
      <sz val="10"/>
      <color rgb="FF000000"/>
      <name val="Arial"/>
      <family val="2"/>
    </font>
    <font>
      <b/>
      <sz val="15"/>
      <color theme="3"/>
      <name val="Arial"/>
      <family val="2"/>
    </font>
    <font>
      <b/>
      <sz val="11"/>
      <color theme="1"/>
      <name val="Arial"/>
      <family val="2"/>
    </font>
    <font>
      <b/>
      <sz val="11"/>
      <color theme="1"/>
      <name val="Aptos Narrow"/>
      <family val="2"/>
      <scheme val="minor"/>
    </font>
    <font>
      <sz val="10"/>
      <color theme="1"/>
      <name val="Aptos Narrow"/>
      <family val="2"/>
      <scheme val="minor"/>
    </font>
    <font>
      <i/>
      <sz val="10"/>
      <color theme="2" tint="-0.249977111117893"/>
      <name val="Arial"/>
      <family val="2"/>
    </font>
    <font>
      <sz val="11"/>
      <color theme="1"/>
      <name val="Arial"/>
      <family val="2"/>
    </font>
    <font>
      <sz val="12"/>
      <color rgb="FF808080"/>
      <name val="Aptos Narrow"/>
      <family val="2"/>
      <scheme val="minor"/>
    </font>
    <font>
      <sz val="10"/>
      <color rgb="FF008000"/>
      <name val="Arial"/>
      <family val="2"/>
    </font>
    <font>
      <b/>
      <i/>
      <sz val="10"/>
      <color rgb="FF1F3864"/>
      <name val="Arial"/>
      <family val="2"/>
    </font>
    <font>
      <sz val="9"/>
      <color rgb="FF000000"/>
      <name val="Arial"/>
      <family val="2"/>
    </font>
    <font>
      <b/>
      <sz val="10"/>
      <color rgb="FF1F3864"/>
      <name val="Arial"/>
      <family val="2"/>
    </font>
    <font>
      <b/>
      <i/>
      <sz val="9"/>
      <color rgb="FF808080"/>
      <name val="Arial"/>
      <family val="2"/>
    </font>
    <font>
      <b/>
      <sz val="11"/>
      <color rgb="FF000000"/>
      <name val="Arial"/>
      <family val="2"/>
    </font>
  </fonts>
  <fills count="13">
    <fill>
      <patternFill patternType="none"/>
    </fill>
    <fill>
      <patternFill patternType="gray125"/>
    </fill>
    <fill>
      <patternFill patternType="solid">
        <fgColor rgb="FFFFFFCC"/>
      </patternFill>
    </fill>
    <fill>
      <patternFill patternType="solid">
        <fgColor rgb="FFFFFF99"/>
        <bgColor indexed="64"/>
      </patternFill>
    </fill>
    <fill>
      <patternFill patternType="solid">
        <fgColor theme="4" tint="0.79998168889431442"/>
        <bgColor indexed="64"/>
      </patternFill>
    </fill>
    <fill>
      <patternFill patternType="solid">
        <fgColor theme="4"/>
        <bgColor indexed="64"/>
      </patternFill>
    </fill>
    <fill>
      <patternFill patternType="solid">
        <fgColor rgb="FF1F3864"/>
        <bgColor rgb="FF333399"/>
      </patternFill>
    </fill>
    <fill>
      <patternFill patternType="solid">
        <fgColor rgb="FFD9E2F3"/>
        <bgColor rgb="FFE2EFDA"/>
      </patternFill>
    </fill>
    <fill>
      <patternFill patternType="solid">
        <fgColor rgb="FFE2EFDA"/>
        <bgColor rgb="FFD9E2F3"/>
      </patternFill>
    </fill>
    <fill>
      <patternFill patternType="solid">
        <fgColor theme="4"/>
        <bgColor rgb="FF333399"/>
      </patternFill>
    </fill>
    <fill>
      <patternFill patternType="solid">
        <fgColor rgb="FF156082"/>
        <bgColor rgb="FF000000"/>
      </patternFill>
    </fill>
    <fill>
      <patternFill patternType="solid">
        <fgColor theme="4" tint="0.79998168889431442"/>
        <bgColor rgb="FFE2EFDA"/>
      </patternFill>
    </fill>
    <fill>
      <patternFill patternType="solid">
        <fgColor rgb="FFFFFDE7"/>
        <bgColor rgb="FFFFFFFF"/>
      </patternFill>
    </fill>
  </fills>
  <borders count="14">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style="thin">
        <color auto="1"/>
      </top>
      <bottom/>
      <diagonal/>
    </border>
    <border>
      <left/>
      <right/>
      <top/>
      <bottom style="thin">
        <color theme="0"/>
      </bottom>
      <diagonal/>
    </border>
    <border>
      <left/>
      <right/>
      <top style="thin">
        <color rgb="FF404040"/>
      </top>
      <bottom style="double">
        <color rgb="FF404040"/>
      </bottom>
      <diagonal/>
    </border>
    <border>
      <left style="thin">
        <color theme="0"/>
      </left>
      <right/>
      <top/>
      <bottom style="thin">
        <color theme="0"/>
      </bottom>
      <diagonal/>
    </border>
    <border>
      <left style="thin">
        <color theme="0"/>
      </left>
      <right/>
      <top style="thin">
        <color theme="0"/>
      </top>
      <bottom style="thin">
        <color indexed="64"/>
      </bottom>
      <diagonal/>
    </border>
    <border>
      <left/>
      <right/>
      <top style="thin">
        <color theme="1"/>
      </top>
      <bottom/>
      <diagonal/>
    </border>
    <border>
      <left/>
      <right/>
      <top/>
      <bottom style="thin">
        <color rgb="FF404040"/>
      </bottom>
      <diagonal/>
    </border>
    <border>
      <left/>
      <right/>
      <top style="thin">
        <color rgb="FF404040"/>
      </top>
      <bottom/>
      <diagonal/>
    </border>
    <border>
      <left/>
      <right/>
      <top/>
      <bottom style="thin">
        <color theme="1"/>
      </bottom>
      <diagonal/>
    </border>
    <border>
      <left/>
      <right/>
      <top style="thin">
        <color theme="1"/>
      </top>
      <bottom style="double">
        <color theme="1"/>
      </bottom>
      <diagonal/>
    </border>
  </borders>
  <cellStyleXfs count="12">
    <xf numFmtId="0" fontId="0" fillId="0" borderId="0"/>
    <xf numFmtId="9" fontId="1" fillId="0" borderId="0" applyFont="0" applyFill="0" applyBorder="0" applyAlignment="0" applyProtection="0"/>
    <xf numFmtId="0" fontId="2" fillId="0" borderId="1" applyNumberFormat="0" applyFill="0" applyAlignment="0" applyProtection="0"/>
    <xf numFmtId="0" fontId="1" fillId="2" borderId="2" applyNumberFormat="0" applyFont="0" applyAlignment="0" applyProtection="0"/>
    <xf numFmtId="0" fontId="4" fillId="0" borderId="0"/>
    <xf numFmtId="0" fontId="6" fillId="0" borderId="0"/>
    <xf numFmtId="0" fontId="5" fillId="0" borderId="0"/>
    <xf numFmtId="0" fontId="5" fillId="0" borderId="0"/>
    <xf numFmtId="0" fontId="4" fillId="0" borderId="0"/>
    <xf numFmtId="0" fontId="5" fillId="2" borderId="2" applyNumberFormat="0" applyFont="0" applyAlignment="0" applyProtection="0"/>
    <xf numFmtId="0" fontId="7" fillId="0" borderId="0" applyAlignment="0"/>
    <xf numFmtId="0" fontId="8" fillId="3" borderId="2" applyNumberFormat="0" applyAlignment="0" applyProtection="0"/>
  </cellStyleXfs>
  <cellXfs count="169">
    <xf numFmtId="0" fontId="0" fillId="0" borderId="0" xfId="0"/>
    <xf numFmtId="0" fontId="1" fillId="0" borderId="0" xfId="0" applyFont="1"/>
    <xf numFmtId="0" fontId="3" fillId="0" borderId="0" xfId="0" applyFont="1"/>
    <xf numFmtId="0" fontId="9" fillId="0" borderId="0" xfId="0" applyFont="1"/>
    <xf numFmtId="172" fontId="9" fillId="0" borderId="0" xfId="0" applyNumberFormat="1" applyFont="1"/>
    <xf numFmtId="0" fontId="10" fillId="0" borderId="0" xfId="0" applyFont="1" applyAlignment="1">
      <alignment vertical="center" indent="1"/>
    </xf>
    <xf numFmtId="0" fontId="12" fillId="0" borderId="0" xfId="0" applyFont="1"/>
    <xf numFmtId="173" fontId="10" fillId="0" borderId="0" xfId="0" applyNumberFormat="1" applyFont="1"/>
    <xf numFmtId="0" fontId="13" fillId="0" borderId="0" xfId="0" applyFont="1" applyAlignment="1">
      <alignment vertical="center" indent="1"/>
    </xf>
    <xf numFmtId="173" fontId="13" fillId="0" borderId="0" xfId="0" applyNumberFormat="1" applyFont="1"/>
    <xf numFmtId="173" fontId="9" fillId="0" borderId="0" xfId="0" applyNumberFormat="1" applyFont="1"/>
    <xf numFmtId="173" fontId="10" fillId="0" borderId="6" xfId="0" applyNumberFormat="1" applyFont="1" applyBorder="1"/>
    <xf numFmtId="0" fontId="14" fillId="0" borderId="0" xfId="0" applyFont="1"/>
    <xf numFmtId="0" fontId="15" fillId="0" borderId="0" xfId="0" applyFont="1"/>
    <xf numFmtId="0" fontId="13" fillId="0" borderId="0" xfId="0" applyFont="1" applyAlignment="1">
      <alignment vertical="center" indent="2"/>
    </xf>
    <xf numFmtId="0" fontId="16" fillId="0" borderId="0" xfId="0" applyFont="1"/>
    <xf numFmtId="0" fontId="17" fillId="0" borderId="0" xfId="0" applyFont="1"/>
    <xf numFmtId="0" fontId="18" fillId="0" borderId="0" xfId="0" applyFont="1"/>
    <xf numFmtId="0" fontId="18" fillId="0" borderId="0" xfId="0" applyFont="1" applyAlignment="1">
      <alignment horizontal="left"/>
    </xf>
    <xf numFmtId="0" fontId="19" fillId="5" borderId="3" xfId="4" applyFont="1" applyFill="1" applyBorder="1"/>
    <xf numFmtId="0" fontId="20" fillId="5" borderId="3" xfId="0" applyFont="1" applyFill="1" applyBorder="1" applyAlignment="1">
      <alignment horizontal="center"/>
    </xf>
    <xf numFmtId="0" fontId="13" fillId="0" borderId="0" xfId="0" applyFont="1"/>
    <xf numFmtId="0" fontId="21" fillId="0" borderId="0" xfId="0" applyFont="1" applyAlignment="1">
      <alignment horizontal="left"/>
    </xf>
    <xf numFmtId="44" fontId="9" fillId="0" borderId="2" xfId="3" applyNumberFormat="1" applyFont="1" applyFill="1" applyAlignment="1"/>
    <xf numFmtId="0" fontId="23" fillId="0" borderId="0" xfId="0" applyFont="1"/>
    <xf numFmtId="0" fontId="10" fillId="0" borderId="0" xfId="0" applyFont="1" applyAlignment="1">
      <alignment horizontal="left" vertical="center"/>
    </xf>
    <xf numFmtId="0" fontId="18" fillId="0" borderId="0" xfId="0" applyFont="1" applyAlignment="1">
      <alignment horizontal="left" indent="1"/>
    </xf>
    <xf numFmtId="169" fontId="9" fillId="0" borderId="0" xfId="0" applyNumberFormat="1" applyFont="1"/>
    <xf numFmtId="170" fontId="9" fillId="0" borderId="0" xfId="0" applyNumberFormat="1" applyFont="1"/>
    <xf numFmtId="169" fontId="18" fillId="0" borderId="0" xfId="0" applyNumberFormat="1" applyFont="1"/>
    <xf numFmtId="0" fontId="24" fillId="5" borderId="0" xfId="0" applyFont="1" applyFill="1"/>
    <xf numFmtId="0" fontId="25" fillId="5" borderId="5" xfId="0" applyFont="1" applyFill="1" applyBorder="1" applyAlignment="1">
      <alignment horizontal="centerContinuous"/>
    </xf>
    <xf numFmtId="0" fontId="19" fillId="5" borderId="5" xfId="0" applyFont="1" applyFill="1" applyBorder="1" applyAlignment="1">
      <alignment horizontal="centerContinuous"/>
    </xf>
    <xf numFmtId="168" fontId="19" fillId="5" borderId="3" xfId="0" applyNumberFormat="1" applyFont="1" applyFill="1" applyBorder="1" applyAlignment="1">
      <alignment horizontal="center"/>
    </xf>
    <xf numFmtId="0" fontId="26" fillId="0" borderId="0" xfId="0" applyFont="1" applyAlignment="1">
      <alignment horizontal="center"/>
    </xf>
    <xf numFmtId="0" fontId="20" fillId="5" borderId="5" xfId="0" applyFont="1" applyFill="1" applyBorder="1" applyAlignment="1">
      <alignment horizontal="center"/>
    </xf>
    <xf numFmtId="0" fontId="19" fillId="5" borderId="0" xfId="0" applyFont="1" applyFill="1" applyAlignment="1">
      <alignment horizontal="left"/>
    </xf>
    <xf numFmtId="0" fontId="26" fillId="0" borderId="0" xfId="0" applyFont="1"/>
    <xf numFmtId="0" fontId="19" fillId="5" borderId="7" xfId="0" applyFont="1" applyFill="1" applyBorder="1" applyAlignment="1">
      <alignment horizontal="centerContinuous"/>
    </xf>
    <xf numFmtId="168" fontId="19" fillId="5" borderId="8" xfId="0" applyNumberFormat="1" applyFont="1" applyFill="1" applyBorder="1" applyAlignment="1">
      <alignment horizontal="center"/>
    </xf>
    <xf numFmtId="0" fontId="20" fillId="5" borderId="7" xfId="0" applyFont="1" applyFill="1" applyBorder="1" applyAlignment="1">
      <alignment horizontal="center"/>
    </xf>
    <xf numFmtId="173" fontId="26" fillId="0" borderId="0" xfId="1" applyNumberFormat="1" applyFont="1" applyFill="1"/>
    <xf numFmtId="173" fontId="11" fillId="0" borderId="0" xfId="0" applyNumberFormat="1" applyFont="1"/>
    <xf numFmtId="173" fontId="18" fillId="0" borderId="0" xfId="0" applyNumberFormat="1" applyFont="1"/>
    <xf numFmtId="173" fontId="17" fillId="0" borderId="4" xfId="0" applyNumberFormat="1" applyFont="1" applyBorder="1"/>
    <xf numFmtId="173" fontId="0" fillId="0" borderId="0" xfId="0" applyNumberFormat="1"/>
    <xf numFmtId="173" fontId="23" fillId="0" borderId="0" xfId="0" applyNumberFormat="1" applyFont="1"/>
    <xf numFmtId="173" fontId="4" fillId="0" borderId="0" xfId="0" applyNumberFormat="1" applyFont="1"/>
    <xf numFmtId="174" fontId="9" fillId="0" borderId="0" xfId="0" applyNumberFormat="1" applyFont="1"/>
    <xf numFmtId="175" fontId="9" fillId="0" borderId="0" xfId="0" applyNumberFormat="1" applyFont="1"/>
    <xf numFmtId="176" fontId="28" fillId="0" borderId="0" xfId="0" applyNumberFormat="1" applyFont="1"/>
    <xf numFmtId="176" fontId="9" fillId="0" borderId="0" xfId="0" applyNumberFormat="1" applyFont="1"/>
    <xf numFmtId="177" fontId="9" fillId="0" borderId="0" xfId="0" applyNumberFormat="1" applyFont="1"/>
    <xf numFmtId="0" fontId="28" fillId="0" borderId="0" xfId="0" applyFont="1" applyAlignment="1">
      <alignment horizontal="center" vertical="center"/>
    </xf>
    <xf numFmtId="173" fontId="9" fillId="0" borderId="0" xfId="11" applyNumberFormat="1" applyFont="1" applyFill="1" applyBorder="1"/>
    <xf numFmtId="173" fontId="10" fillId="0" borderId="9" xfId="0" applyNumberFormat="1" applyFont="1" applyBorder="1"/>
    <xf numFmtId="0" fontId="29" fillId="6" borderId="0" xfId="0" applyFont="1" applyFill="1"/>
    <xf numFmtId="0" fontId="10" fillId="7" borderId="10" xfId="0" applyFont="1" applyFill="1" applyBorder="1" applyAlignment="1">
      <alignment horizontal="center" vertical="center"/>
    </xf>
    <xf numFmtId="0" fontId="10" fillId="0" borderId="0" xfId="0" applyFont="1"/>
    <xf numFmtId="173" fontId="10" fillId="0" borderId="11" xfId="0" applyNumberFormat="1" applyFont="1" applyBorder="1"/>
    <xf numFmtId="173" fontId="30" fillId="8" borderId="0" xfId="0" applyNumberFormat="1" applyFont="1" applyFill="1"/>
    <xf numFmtId="174" fontId="13" fillId="0" borderId="0" xfId="0" applyNumberFormat="1" applyFont="1"/>
    <xf numFmtId="177" fontId="13" fillId="0" borderId="0" xfId="0" applyNumberFormat="1" applyFont="1"/>
    <xf numFmtId="178" fontId="13" fillId="0" borderId="0" xfId="0" applyNumberFormat="1" applyFont="1"/>
    <xf numFmtId="0" fontId="29" fillId="9" borderId="0" xfId="0" applyFont="1" applyFill="1"/>
    <xf numFmtId="0" fontId="29" fillId="10" borderId="0" xfId="0" applyFont="1" applyFill="1" applyAlignment="1">
      <alignment horizontal="left"/>
    </xf>
    <xf numFmtId="0" fontId="32" fillId="10" borderId="0" xfId="0" applyFont="1" applyFill="1"/>
    <xf numFmtId="173" fontId="9" fillId="0" borderId="12" xfId="0" applyNumberFormat="1" applyFont="1" applyBorder="1"/>
    <xf numFmtId="174" fontId="33" fillId="0" borderId="0" xfId="0" applyNumberFormat="1" applyFont="1"/>
    <xf numFmtId="0" fontId="22" fillId="0" borderId="0" xfId="0" applyFont="1" applyAlignment="1">
      <alignment horizontal="left"/>
    </xf>
    <xf numFmtId="0" fontId="23" fillId="0" borderId="0" xfId="0" applyFont="1" applyAlignment="1">
      <alignment horizontal="left"/>
    </xf>
    <xf numFmtId="0" fontId="26" fillId="0" borderId="0" xfId="0" applyFont="1" applyAlignment="1">
      <alignment horizontal="left"/>
    </xf>
    <xf numFmtId="0" fontId="20" fillId="5" borderId="0" xfId="0" applyFont="1" applyFill="1" applyAlignment="1">
      <alignment horizontal="left"/>
    </xf>
    <xf numFmtId="0" fontId="0" fillId="0" borderId="0" xfId="0" applyAlignment="1">
      <alignment horizontal="left"/>
    </xf>
    <xf numFmtId="0" fontId="12" fillId="0" borderId="0" xfId="0" applyFont="1" applyAlignment="1">
      <alignment horizontal="left"/>
    </xf>
    <xf numFmtId="0" fontId="31" fillId="10" borderId="0" xfId="0" applyFont="1" applyFill="1" applyAlignment="1">
      <alignment horizontal="left"/>
    </xf>
    <xf numFmtId="174" fontId="28" fillId="0" borderId="0" xfId="0" applyNumberFormat="1" applyFont="1"/>
    <xf numFmtId="177" fontId="28" fillId="0" borderId="0" xfId="0" applyNumberFormat="1" applyFont="1"/>
    <xf numFmtId="173" fontId="17" fillId="0" borderId="9" xfId="0" applyNumberFormat="1" applyFont="1" applyBorder="1"/>
    <xf numFmtId="173" fontId="17" fillId="0" borderId="13" xfId="0" applyNumberFormat="1" applyFont="1" applyBorder="1"/>
    <xf numFmtId="179" fontId="18" fillId="0" borderId="0" xfId="0" applyNumberFormat="1" applyFont="1"/>
    <xf numFmtId="179" fontId="17" fillId="0" borderId="0" xfId="0" applyNumberFormat="1" applyFont="1"/>
    <xf numFmtId="178" fontId="18" fillId="0" borderId="0" xfId="0" applyNumberFormat="1" applyFont="1"/>
    <xf numFmtId="0" fontId="35" fillId="0" borderId="4" xfId="0" applyFont="1" applyBorder="1"/>
    <xf numFmtId="0" fontId="5" fillId="0" borderId="4" xfId="0" applyFont="1" applyBorder="1"/>
    <xf numFmtId="169" fontId="36" fillId="0" borderId="4" xfId="0" applyNumberFormat="1" applyFont="1" applyBorder="1"/>
    <xf numFmtId="169" fontId="35" fillId="0" borderId="4" xfId="0" applyNumberFormat="1" applyFont="1" applyBorder="1"/>
    <xf numFmtId="0" fontId="37" fillId="0" borderId="0" xfId="0" applyFont="1"/>
    <xf numFmtId="0" fontId="38" fillId="0" borderId="0" xfId="0" applyFont="1" applyAlignment="1">
      <alignment horizontal="center"/>
    </xf>
    <xf numFmtId="0" fontId="35" fillId="0" borderId="0" xfId="0" applyFont="1"/>
    <xf numFmtId="0" fontId="39" fillId="0" borderId="0" xfId="0" applyFont="1"/>
    <xf numFmtId="0" fontId="34" fillId="0" borderId="0" xfId="2" applyFont="1" applyBorder="1"/>
    <xf numFmtId="164" fontId="9" fillId="0" borderId="0" xfId="0" applyNumberFormat="1" applyFont="1"/>
    <xf numFmtId="165" fontId="9" fillId="0" borderId="0" xfId="3" applyNumberFormat="1" applyFont="1" applyFill="1" applyBorder="1" applyAlignment="1">
      <alignment horizontal="center"/>
    </xf>
    <xf numFmtId="44" fontId="9" fillId="0" borderId="0" xfId="3" applyNumberFormat="1" applyFont="1" applyFill="1" applyBorder="1" applyAlignment="1"/>
    <xf numFmtId="181" fontId="9" fillId="0" borderId="0" xfId="3" applyNumberFormat="1" applyFont="1" applyFill="1" applyBorder="1" applyAlignment="1"/>
    <xf numFmtId="181" fontId="17" fillId="0" borderId="9" xfId="3" applyNumberFormat="1" applyFont="1" applyFill="1" applyBorder="1" applyAlignment="1"/>
    <xf numFmtId="44" fontId="17" fillId="0" borderId="9" xfId="3" applyNumberFormat="1" applyFont="1" applyFill="1" applyBorder="1" applyAlignment="1"/>
    <xf numFmtId="166" fontId="9" fillId="0" borderId="0" xfId="11" applyNumberFormat="1" applyFont="1" applyFill="1" applyBorder="1"/>
    <xf numFmtId="0" fontId="40" fillId="0" borderId="0" xfId="0" applyFont="1"/>
    <xf numFmtId="173" fontId="28" fillId="0" borderId="0" xfId="0" applyNumberFormat="1" applyFont="1"/>
    <xf numFmtId="0" fontId="10" fillId="7" borderId="10" xfId="0" applyFont="1" applyFill="1" applyBorder="1" applyAlignment="1">
      <alignment horizontal="center" wrapText="1"/>
    </xf>
    <xf numFmtId="0" fontId="10" fillId="7" borderId="0" xfId="0" applyFont="1" applyFill="1" applyAlignment="1">
      <alignment horizontal="center" vertical="center"/>
    </xf>
    <xf numFmtId="0" fontId="13" fillId="0" borderId="0" xfId="0" applyFont="1" applyAlignment="1">
      <alignment horizontal="center" vertical="center"/>
    </xf>
    <xf numFmtId="182" fontId="9" fillId="0" borderId="0" xfId="0" applyNumberFormat="1" applyFont="1"/>
    <xf numFmtId="0" fontId="10" fillId="0" borderId="0" xfId="0" applyFont="1" applyAlignment="1">
      <alignment horizontal="center" vertical="center"/>
    </xf>
    <xf numFmtId="182" fontId="41" fillId="0" borderId="0" xfId="0" applyNumberFormat="1" applyFont="1"/>
    <xf numFmtId="172" fontId="41" fillId="0" borderId="0" xfId="0" applyNumberFormat="1" applyFont="1"/>
    <xf numFmtId="173" fontId="41" fillId="0" borderId="0" xfId="0" applyNumberFormat="1" applyFont="1"/>
    <xf numFmtId="174" fontId="10" fillId="0" borderId="0" xfId="0" applyNumberFormat="1" applyFont="1"/>
    <xf numFmtId="178" fontId="10" fillId="0" borderId="0" xfId="0" applyNumberFormat="1" applyFont="1"/>
    <xf numFmtId="0" fontId="2" fillId="0" borderId="0" xfId="2" applyBorder="1"/>
    <xf numFmtId="0" fontId="10" fillId="11" borderId="10" xfId="0" applyFont="1" applyFill="1" applyBorder="1" applyAlignment="1">
      <alignment horizontal="center" wrapText="1"/>
    </xf>
    <xf numFmtId="0" fontId="35" fillId="4" borderId="3" xfId="0" applyFont="1" applyFill="1" applyBorder="1" applyAlignment="1">
      <alignment horizontal="center"/>
    </xf>
    <xf numFmtId="0" fontId="39" fillId="4" borderId="3" xfId="0" applyFont="1" applyFill="1" applyBorder="1"/>
    <xf numFmtId="177" fontId="9" fillId="12" borderId="0" xfId="0" applyNumberFormat="1" applyFont="1" applyFill="1"/>
    <xf numFmtId="174" fontId="9" fillId="12" borderId="0" xfId="0" applyNumberFormat="1" applyFont="1" applyFill="1"/>
    <xf numFmtId="2" fontId="9" fillId="0" borderId="0" xfId="0" applyNumberFormat="1" applyFont="1"/>
    <xf numFmtId="2" fontId="13" fillId="0" borderId="0" xfId="0" applyNumberFormat="1" applyFont="1"/>
    <xf numFmtId="2" fontId="10" fillId="0" borderId="6" xfId="0" applyNumberFormat="1" applyFont="1" applyBorder="1"/>
    <xf numFmtId="177" fontId="10" fillId="12" borderId="6" xfId="0" applyNumberFormat="1" applyFont="1" applyFill="1" applyBorder="1"/>
    <xf numFmtId="175" fontId="9" fillId="12" borderId="0" xfId="0" applyNumberFormat="1" applyFont="1" applyFill="1"/>
    <xf numFmtId="183" fontId="9" fillId="12" borderId="0" xfId="0" applyNumberFormat="1" applyFont="1" applyFill="1"/>
    <xf numFmtId="182" fontId="10" fillId="0" borderId="0" xfId="0" applyNumberFormat="1" applyFont="1"/>
    <xf numFmtId="172" fontId="13" fillId="0" borderId="0" xfId="0" applyNumberFormat="1" applyFont="1"/>
    <xf numFmtId="178" fontId="9" fillId="12" borderId="0" xfId="0" applyNumberFormat="1" applyFont="1" applyFill="1"/>
    <xf numFmtId="184" fontId="9" fillId="0" borderId="0" xfId="0" applyNumberFormat="1" applyFont="1"/>
    <xf numFmtId="172" fontId="10" fillId="0" borderId="0" xfId="0" applyNumberFormat="1" applyFont="1"/>
    <xf numFmtId="173" fontId="41" fillId="8" borderId="0" xfId="0" applyNumberFormat="1" applyFont="1" applyFill="1"/>
    <xf numFmtId="177" fontId="10" fillId="0" borderId="0" xfId="0" applyNumberFormat="1" applyFont="1"/>
    <xf numFmtId="0" fontId="10" fillId="7" borderId="0" xfId="0" applyFont="1" applyFill="1"/>
    <xf numFmtId="172" fontId="10" fillId="0" borderId="11" xfId="0" applyNumberFormat="1" applyFont="1" applyBorder="1"/>
    <xf numFmtId="182" fontId="13" fillId="0" borderId="0" xfId="0" applyNumberFormat="1" applyFont="1"/>
    <xf numFmtId="174" fontId="10" fillId="0" borderId="6" xfId="0" applyNumberFormat="1" applyFont="1" applyBorder="1"/>
    <xf numFmtId="0" fontId="42" fillId="0" borderId="0" xfId="0" applyFont="1"/>
    <xf numFmtId="0" fontId="43" fillId="0" borderId="0" xfId="0" applyFont="1" applyAlignment="1">
      <alignment vertical="center" indent="1"/>
    </xf>
    <xf numFmtId="0" fontId="44" fillId="0" borderId="0" xfId="0" applyFont="1"/>
    <xf numFmtId="0" fontId="45" fillId="0" borderId="0" xfId="0" applyFont="1"/>
    <xf numFmtId="174" fontId="10" fillId="7" borderId="0" xfId="0" applyNumberFormat="1" applyFont="1" applyFill="1" applyAlignment="1">
      <alignment horizontal="center" vertical="center"/>
    </xf>
    <xf numFmtId="183" fontId="27" fillId="7" borderId="0" xfId="0" applyNumberFormat="1" applyFont="1" applyFill="1" applyAlignment="1">
      <alignment horizontal="center" vertical="center"/>
    </xf>
    <xf numFmtId="174" fontId="27" fillId="7" borderId="0" xfId="0" applyNumberFormat="1" applyFont="1" applyFill="1" applyAlignment="1">
      <alignment horizontal="center" vertical="center"/>
    </xf>
    <xf numFmtId="171" fontId="0" fillId="0" borderId="0" xfId="1" applyNumberFormat="1" applyFont="1"/>
    <xf numFmtId="44" fontId="0" fillId="0" borderId="0" xfId="1" applyNumberFormat="1" applyFont="1"/>
    <xf numFmtId="168" fontId="10" fillId="7" borderId="10" xfId="0" applyNumberFormat="1" applyFont="1" applyFill="1" applyBorder="1" applyAlignment="1">
      <alignment horizontal="center" vertical="center"/>
    </xf>
    <xf numFmtId="176" fontId="41" fillId="0" borderId="0" xfId="0" applyNumberFormat="1" applyFont="1"/>
    <xf numFmtId="174" fontId="41" fillId="0" borderId="0" xfId="0" applyNumberFormat="1" applyFont="1"/>
    <xf numFmtId="177" fontId="41" fillId="0" borderId="0" xfId="0" applyNumberFormat="1" applyFont="1"/>
    <xf numFmtId="173" fontId="30" fillId="0" borderId="0" xfId="0" applyNumberFormat="1" applyFont="1"/>
    <xf numFmtId="180" fontId="9" fillId="0" borderId="0" xfId="0" applyNumberFormat="1" applyFont="1"/>
    <xf numFmtId="167" fontId="13" fillId="0" borderId="0" xfId="0" applyNumberFormat="1" applyFont="1"/>
    <xf numFmtId="182" fontId="10" fillId="7" borderId="0" xfId="0" applyNumberFormat="1" applyFont="1" applyFill="1" applyAlignment="1">
      <alignment horizontal="center" vertical="center"/>
    </xf>
    <xf numFmtId="177" fontId="27" fillId="7" borderId="0" xfId="0" applyNumberFormat="1" applyFont="1" applyFill="1" applyAlignment="1">
      <alignment horizontal="center" vertical="center"/>
    </xf>
    <xf numFmtId="178" fontId="27" fillId="7" borderId="0" xfId="0" applyNumberFormat="1" applyFont="1" applyFill="1" applyAlignment="1">
      <alignment horizontal="center" vertical="center"/>
    </xf>
    <xf numFmtId="177" fontId="10" fillId="12" borderId="0" xfId="0" applyNumberFormat="1" applyFont="1" applyFill="1"/>
    <xf numFmtId="177" fontId="10" fillId="7" borderId="0" xfId="0" applyNumberFormat="1" applyFont="1" applyFill="1"/>
    <xf numFmtId="0" fontId="9" fillId="0" borderId="0" xfId="0" applyFont="1" applyAlignment="1">
      <alignment horizontal="center" vertical="center"/>
    </xf>
    <xf numFmtId="178" fontId="30" fillId="12" borderId="0" xfId="0" applyNumberFormat="1" applyFont="1" applyFill="1"/>
    <xf numFmtId="183" fontId="13" fillId="0" borderId="0" xfId="0" applyNumberFormat="1" applyFont="1"/>
    <xf numFmtId="183" fontId="10" fillId="0" borderId="0" xfId="0" applyNumberFormat="1" applyFont="1"/>
    <xf numFmtId="174" fontId="10" fillId="12" borderId="0" xfId="0" applyNumberFormat="1" applyFont="1" applyFill="1"/>
    <xf numFmtId="178" fontId="10" fillId="12" borderId="6" xfId="0" applyNumberFormat="1" applyFont="1" applyFill="1" applyBorder="1"/>
    <xf numFmtId="182" fontId="10" fillId="0" borderId="6" xfId="0" applyNumberFormat="1" applyFont="1" applyBorder="1"/>
    <xf numFmtId="182" fontId="10" fillId="12" borderId="11" xfId="0" applyNumberFormat="1" applyFont="1" applyFill="1" applyBorder="1"/>
    <xf numFmtId="173" fontId="27" fillId="7" borderId="0" xfId="0" applyNumberFormat="1" applyFont="1" applyFill="1" applyAlignment="1">
      <alignment horizontal="center" vertical="center"/>
    </xf>
    <xf numFmtId="0" fontId="46" fillId="0" borderId="0" xfId="0" applyFont="1"/>
    <xf numFmtId="0" fontId="41" fillId="0" borderId="0" xfId="0" applyFont="1"/>
    <xf numFmtId="0" fontId="28" fillId="0" borderId="0" xfId="0" applyFont="1"/>
    <xf numFmtId="0" fontId="43" fillId="0" borderId="0" xfId="0" applyFont="1"/>
    <xf numFmtId="0" fontId="43" fillId="0" borderId="0" xfId="0" applyFont="1" applyAlignment="1">
      <alignment vertical="center"/>
    </xf>
  </cellXfs>
  <cellStyles count="12">
    <cellStyle name="Heading 1" xfId="2" builtinId="16"/>
    <cellStyle name="Normal" xfId="0" builtinId="0"/>
    <cellStyle name="Normal 2" xfId="4" xr:uid="{1470A67C-34BD-354F-8B48-5A734E25C243}"/>
    <cellStyle name="Normal 2 2 2" xfId="8" xr:uid="{C28CE111-3DBA-5542-A3DA-6F7F5A8F5AC9}"/>
    <cellStyle name="Normal 3" xfId="5" xr:uid="{294F1603-AFEE-0C45-92E2-731E629A8768}"/>
    <cellStyle name="Normal 3 2" xfId="6" xr:uid="{B2329A30-F7D1-BF42-BF78-B25482FAD793}"/>
    <cellStyle name="Normal 3 2 2 2" xfId="7" xr:uid="{3F0B3E26-96C5-AB4E-A248-4D8B377D6F80}"/>
    <cellStyle name="Note" xfId="3" builtinId="10"/>
    <cellStyle name="Note 2" xfId="9" xr:uid="{2AF808AB-2BA3-BB49-8A49-E352FB56775F}"/>
    <cellStyle name="Note 3" xfId="11" xr:uid="{B88E8D82-2842-9749-96D0-D1DC2DB71433}"/>
    <cellStyle name="Per cent" xfId="1" builtinId="5"/>
    <cellStyle name="TextNormal" xfId="10" xr:uid="{A60512FB-9BD1-4F48-B505-1F1BA5B76AA3}"/>
  </cellStyles>
  <dxfs count="0"/>
  <tableStyles count="0" defaultTableStyle="TableStyleMedium2" defaultPivotStyle="PivotStyleLight16"/>
  <colors>
    <mruColors>
      <color rgb="FF8080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72B2-C7C2-A24F-BEAF-7BAD22B9B090}">
  <dimension ref="B2:M49"/>
  <sheetViews>
    <sheetView showGridLines="0" topLeftCell="A15" workbookViewId="0">
      <selection activeCell="E18" sqref="E18"/>
    </sheetView>
  </sheetViews>
  <sheetFormatPr baseColWidth="10" defaultRowHeight="16" x14ac:dyDescent="0.2"/>
  <cols>
    <col min="1" max="2" width="2.83203125" customWidth="1"/>
    <col min="3" max="3" width="46" customWidth="1"/>
  </cols>
  <sheetData>
    <row r="2" spans="2:13" ht="19" x14ac:dyDescent="0.2">
      <c r="B2" s="91" t="s">
        <v>738</v>
      </c>
      <c r="C2" s="15"/>
      <c r="D2" s="15"/>
      <c r="E2" s="15"/>
      <c r="F2" s="15"/>
      <c r="G2" s="15"/>
      <c r="H2" s="15"/>
      <c r="I2" s="15"/>
      <c r="J2" s="15"/>
      <c r="K2" s="15"/>
      <c r="L2" s="15"/>
      <c r="M2" s="15"/>
    </row>
    <row r="3" spans="2:13" x14ac:dyDescent="0.2">
      <c r="B3" s="164" t="s">
        <v>739</v>
      </c>
      <c r="C3" s="15"/>
      <c r="D3" s="15"/>
      <c r="E3" s="15"/>
      <c r="F3" s="15"/>
      <c r="G3" s="15"/>
      <c r="H3" s="15"/>
      <c r="I3" s="15"/>
      <c r="J3" s="15"/>
      <c r="K3" s="15"/>
      <c r="L3" s="15"/>
      <c r="M3" s="15"/>
    </row>
    <row r="4" spans="2:13" x14ac:dyDescent="0.2">
      <c r="B4" s="22" t="s">
        <v>740</v>
      </c>
      <c r="C4" s="15"/>
      <c r="D4" s="15"/>
      <c r="E4" s="15"/>
      <c r="F4" s="15"/>
      <c r="G4" s="15"/>
      <c r="H4" s="15"/>
      <c r="I4" s="15"/>
      <c r="J4" s="15"/>
      <c r="K4" s="15"/>
      <c r="L4" s="15"/>
      <c r="M4" s="15"/>
    </row>
    <row r="5" spans="2:13" x14ac:dyDescent="0.2">
      <c r="B5" s="15"/>
      <c r="C5" s="15"/>
      <c r="D5" s="15"/>
      <c r="E5" s="15"/>
      <c r="F5" s="15"/>
      <c r="G5" s="15"/>
      <c r="H5" s="15"/>
      <c r="I5" s="15"/>
      <c r="J5" s="15"/>
      <c r="K5" s="15"/>
      <c r="L5" s="15"/>
      <c r="M5" s="15"/>
    </row>
    <row r="6" spans="2:13" x14ac:dyDescent="0.2">
      <c r="B6" s="19" t="s">
        <v>741</v>
      </c>
      <c r="C6" s="19"/>
      <c r="D6" s="20"/>
      <c r="E6" s="19"/>
      <c r="F6" s="19"/>
      <c r="G6" s="19"/>
      <c r="H6" s="19"/>
      <c r="I6" s="19"/>
      <c r="J6" s="19"/>
      <c r="K6" s="19"/>
      <c r="L6" s="19"/>
      <c r="M6" s="15"/>
    </row>
    <row r="7" spans="2:13" x14ac:dyDescent="0.2">
      <c r="B7" s="15"/>
      <c r="C7" s="15"/>
      <c r="D7" s="15"/>
      <c r="E7" s="15"/>
      <c r="F7" s="15"/>
      <c r="G7" s="15"/>
      <c r="H7" s="15"/>
      <c r="I7" s="15"/>
      <c r="J7" s="15"/>
      <c r="K7" s="15"/>
      <c r="L7" s="15"/>
      <c r="M7" s="15"/>
    </row>
    <row r="8" spans="2:13" x14ac:dyDescent="0.2">
      <c r="B8" s="15"/>
      <c r="C8" s="8" t="s">
        <v>742</v>
      </c>
      <c r="D8" s="15"/>
      <c r="E8" s="25" t="s">
        <v>743</v>
      </c>
      <c r="F8" s="15"/>
      <c r="G8" s="15"/>
      <c r="H8" s="15"/>
      <c r="I8" s="15"/>
      <c r="J8" s="15"/>
      <c r="K8" s="15"/>
      <c r="L8" s="15"/>
      <c r="M8" s="15"/>
    </row>
    <row r="9" spans="2:13" x14ac:dyDescent="0.2">
      <c r="B9" s="15"/>
      <c r="C9" s="8" t="s">
        <v>309</v>
      </c>
      <c r="D9" s="15"/>
      <c r="E9" s="25" t="s">
        <v>744</v>
      </c>
      <c r="F9" s="15"/>
      <c r="G9" s="15"/>
      <c r="H9" s="15"/>
      <c r="I9" s="15"/>
      <c r="J9" s="15"/>
      <c r="K9" s="15"/>
      <c r="L9" s="15"/>
      <c r="M9" s="15"/>
    </row>
    <row r="10" spans="2:13" x14ac:dyDescent="0.2">
      <c r="B10" s="15"/>
      <c r="C10" s="8" t="s">
        <v>685</v>
      </c>
      <c r="D10" s="15"/>
      <c r="E10" s="123">
        <f>Merger_Model!$E$15</f>
        <v>48.3</v>
      </c>
      <c r="F10" s="15"/>
      <c r="G10" s="15"/>
      <c r="H10" s="15"/>
      <c r="I10" s="15"/>
      <c r="J10" s="15"/>
      <c r="K10" s="15"/>
      <c r="L10" s="15"/>
      <c r="M10" s="15"/>
    </row>
    <row r="11" spans="2:13" x14ac:dyDescent="0.2">
      <c r="B11" s="15"/>
      <c r="C11" s="8" t="s">
        <v>745</v>
      </c>
      <c r="D11" s="15"/>
      <c r="E11" s="109">
        <f>Merger_Model!$E$17</f>
        <v>0.2777777777777779</v>
      </c>
      <c r="F11" s="15"/>
      <c r="G11" s="15"/>
      <c r="H11" s="15"/>
      <c r="I11" s="15"/>
      <c r="J11" s="15"/>
      <c r="K11" s="15"/>
      <c r="L11" s="15"/>
      <c r="M11" s="15"/>
    </row>
    <row r="12" spans="2:13" x14ac:dyDescent="0.2">
      <c r="B12" s="15"/>
      <c r="C12" s="8" t="s">
        <v>316</v>
      </c>
      <c r="D12" s="15"/>
      <c r="E12" s="7">
        <f>Merger_Model!$E$20</f>
        <v>2697.84</v>
      </c>
      <c r="F12" s="15"/>
      <c r="G12" s="15"/>
      <c r="H12" s="15"/>
      <c r="I12" s="15"/>
      <c r="J12" s="15"/>
      <c r="K12" s="15"/>
      <c r="L12" s="15"/>
      <c r="M12" s="15"/>
    </row>
    <row r="13" spans="2:13" x14ac:dyDescent="0.2">
      <c r="B13" s="15"/>
      <c r="C13" s="8" t="s">
        <v>320</v>
      </c>
      <c r="D13" s="15"/>
      <c r="E13" s="7">
        <f>Merger_Model!$E$23</f>
        <v>2984.2793282500529</v>
      </c>
      <c r="F13" s="15"/>
      <c r="G13" s="15"/>
      <c r="H13" s="15"/>
      <c r="I13" s="15"/>
      <c r="J13" s="15"/>
      <c r="K13" s="15"/>
      <c r="L13" s="15"/>
      <c r="M13" s="15"/>
    </row>
    <row r="14" spans="2:13" x14ac:dyDescent="0.2">
      <c r="B14" s="15"/>
      <c r="C14" s="8" t="s">
        <v>323</v>
      </c>
      <c r="D14" s="15"/>
      <c r="E14" s="110">
        <f>Merger_Model!E27</f>
        <v>9.3927606514141662</v>
      </c>
      <c r="F14" s="15"/>
      <c r="G14" s="15"/>
      <c r="H14" s="15"/>
      <c r="I14" s="15"/>
      <c r="J14" s="15"/>
      <c r="K14" s="15"/>
      <c r="L14" s="15"/>
      <c r="M14" s="15"/>
    </row>
    <row r="15" spans="2:13" x14ac:dyDescent="0.2">
      <c r="B15" s="15"/>
      <c r="C15" s="8" t="s">
        <v>746</v>
      </c>
      <c r="D15" s="15"/>
      <c r="E15" s="7">
        <f>Synergies!$I$16</f>
        <v>95.437821923365462</v>
      </c>
      <c r="F15" s="15"/>
      <c r="G15" s="15"/>
      <c r="H15" s="15"/>
      <c r="I15" s="15"/>
      <c r="J15" s="15"/>
      <c r="K15" s="15"/>
      <c r="L15" s="15"/>
      <c r="M15" s="15"/>
    </row>
    <row r="16" spans="2:13" x14ac:dyDescent="0.2">
      <c r="B16" s="15"/>
      <c r="C16" s="8" t="s">
        <v>747</v>
      </c>
      <c r="D16" s="15"/>
      <c r="E16" s="109">
        <f>Merger_Model!$G$135</f>
        <v>-0.10827476902132682</v>
      </c>
      <c r="F16" s="15"/>
      <c r="G16" s="15"/>
      <c r="H16" s="15"/>
      <c r="I16" s="15"/>
      <c r="J16" s="15"/>
      <c r="K16" s="15"/>
      <c r="L16" s="15"/>
      <c r="M16" s="15"/>
    </row>
    <row r="17" spans="2:13" x14ac:dyDescent="0.2">
      <c r="B17" s="15"/>
      <c r="C17" s="8" t="s">
        <v>748</v>
      </c>
      <c r="D17" s="15"/>
      <c r="E17" s="109">
        <f>Merger_Model!$I$135</f>
        <v>3.6944412167873919E-2</v>
      </c>
      <c r="F17" s="15"/>
      <c r="G17" s="15"/>
      <c r="H17" s="15"/>
      <c r="I17" s="15"/>
      <c r="J17" s="15"/>
      <c r="K17" s="15"/>
      <c r="L17" s="15"/>
      <c r="M17" s="15"/>
    </row>
    <row r="18" spans="2:13" x14ac:dyDescent="0.2">
      <c r="B18" s="15"/>
      <c r="C18" s="15"/>
      <c r="D18" s="15"/>
      <c r="E18" s="15"/>
      <c r="F18" s="15"/>
      <c r="G18" s="15"/>
      <c r="H18" s="15"/>
      <c r="I18" s="15"/>
      <c r="J18" s="15"/>
      <c r="K18" s="15"/>
      <c r="L18" s="15"/>
      <c r="M18" s="15"/>
    </row>
    <row r="19" spans="2:13" x14ac:dyDescent="0.2">
      <c r="B19" s="15"/>
      <c r="C19" s="15"/>
      <c r="D19" s="15"/>
      <c r="E19" s="15"/>
      <c r="F19" s="15"/>
      <c r="G19" s="15"/>
      <c r="H19" s="15"/>
      <c r="I19" s="15"/>
      <c r="J19" s="15"/>
      <c r="K19" s="15"/>
      <c r="L19" s="15"/>
      <c r="M19" s="15"/>
    </row>
    <row r="20" spans="2:13" x14ac:dyDescent="0.2">
      <c r="B20" s="19" t="s">
        <v>749</v>
      </c>
      <c r="C20" s="19"/>
      <c r="D20" s="20"/>
      <c r="E20" s="19"/>
      <c r="F20" s="19"/>
      <c r="G20" s="19"/>
      <c r="H20" s="19"/>
      <c r="I20" s="19"/>
      <c r="J20" s="19"/>
      <c r="K20" s="19"/>
      <c r="L20" s="19"/>
      <c r="M20" s="15"/>
    </row>
    <row r="21" spans="2:13" x14ac:dyDescent="0.2">
      <c r="B21" s="15"/>
      <c r="C21" s="15"/>
      <c r="D21" s="15"/>
      <c r="E21" s="15"/>
      <c r="F21" s="15"/>
      <c r="G21" s="15"/>
      <c r="H21" s="15"/>
      <c r="I21" s="15"/>
      <c r="J21" s="15"/>
      <c r="K21" s="15"/>
      <c r="L21" s="15"/>
      <c r="M21" s="15"/>
    </row>
    <row r="22" spans="2:13" x14ac:dyDescent="0.2">
      <c r="B22" s="15"/>
      <c r="C22" s="58" t="s">
        <v>750</v>
      </c>
      <c r="D22" s="15"/>
      <c r="E22" s="3" t="s">
        <v>751</v>
      </c>
      <c r="F22" s="15"/>
      <c r="G22" s="15"/>
      <c r="H22" s="15"/>
      <c r="I22" s="15"/>
      <c r="J22" s="15"/>
      <c r="K22" s="15"/>
      <c r="L22" s="15"/>
      <c r="M22" s="15"/>
    </row>
    <row r="23" spans="2:13" x14ac:dyDescent="0.2">
      <c r="B23" s="15"/>
      <c r="C23" s="15"/>
      <c r="D23" s="15"/>
      <c r="E23" s="21" t="s">
        <v>752</v>
      </c>
      <c r="F23" s="15"/>
      <c r="G23" s="15"/>
      <c r="H23" s="15"/>
      <c r="I23" s="15"/>
      <c r="J23" s="15"/>
      <c r="K23" s="15"/>
      <c r="L23" s="15"/>
      <c r="M23" s="15"/>
    </row>
    <row r="24" spans="2:13" x14ac:dyDescent="0.2">
      <c r="B24" s="15"/>
      <c r="C24" s="15"/>
      <c r="D24" s="15"/>
      <c r="E24" s="165" t="s">
        <v>753</v>
      </c>
      <c r="F24" s="15"/>
      <c r="G24" s="15"/>
      <c r="H24" s="15"/>
      <c r="I24" s="15"/>
      <c r="J24" s="15"/>
      <c r="K24" s="15"/>
      <c r="L24" s="15"/>
      <c r="M24" s="15"/>
    </row>
    <row r="25" spans="2:13" x14ac:dyDescent="0.2">
      <c r="B25" s="15"/>
      <c r="C25" s="15"/>
      <c r="D25" s="15"/>
      <c r="E25" s="166" t="s">
        <v>754</v>
      </c>
      <c r="F25" s="15"/>
      <c r="G25" s="15"/>
      <c r="H25" s="15"/>
      <c r="I25" s="15"/>
      <c r="J25" s="15"/>
      <c r="K25" s="15"/>
      <c r="L25" s="15"/>
      <c r="M25" s="15"/>
    </row>
    <row r="26" spans="2:13" x14ac:dyDescent="0.2">
      <c r="B26" s="15"/>
      <c r="C26" s="15"/>
      <c r="D26" s="15"/>
      <c r="E26" s="15"/>
      <c r="F26" s="15"/>
      <c r="G26" s="15"/>
      <c r="H26" s="15"/>
      <c r="I26" s="15"/>
      <c r="J26" s="15"/>
      <c r="K26" s="15"/>
      <c r="L26" s="15"/>
      <c r="M26" s="15"/>
    </row>
    <row r="27" spans="2:13" x14ac:dyDescent="0.2">
      <c r="B27" s="15"/>
      <c r="C27" s="58" t="s">
        <v>755</v>
      </c>
      <c r="D27" s="15"/>
      <c r="E27" s="167" t="s">
        <v>756</v>
      </c>
      <c r="F27" s="15"/>
      <c r="G27" s="15"/>
      <c r="H27" s="15"/>
      <c r="I27" s="15"/>
      <c r="J27" s="15"/>
      <c r="K27" s="15"/>
      <c r="L27" s="15"/>
      <c r="M27" s="15"/>
    </row>
    <row r="28" spans="2:13" x14ac:dyDescent="0.2">
      <c r="B28" s="15"/>
      <c r="C28" s="15"/>
      <c r="D28" s="15"/>
      <c r="E28" s="167" t="s">
        <v>757</v>
      </c>
      <c r="F28" s="15"/>
      <c r="G28" s="15"/>
      <c r="H28" s="15"/>
      <c r="I28" s="15"/>
      <c r="J28" s="15"/>
      <c r="K28" s="15"/>
      <c r="L28" s="15"/>
      <c r="M28" s="15"/>
    </row>
    <row r="29" spans="2:13" x14ac:dyDescent="0.2">
      <c r="B29" s="15"/>
      <c r="C29" s="15"/>
      <c r="D29" s="15"/>
      <c r="E29" s="167" t="s">
        <v>758</v>
      </c>
      <c r="F29" s="15"/>
      <c r="G29" s="15"/>
      <c r="H29" s="15"/>
      <c r="I29" s="15"/>
      <c r="J29" s="15"/>
      <c r="K29" s="15"/>
      <c r="L29" s="15"/>
      <c r="M29" s="15"/>
    </row>
    <row r="30" spans="2:13" x14ac:dyDescent="0.2">
      <c r="B30" s="15"/>
      <c r="C30" s="15"/>
      <c r="D30" s="15"/>
      <c r="E30" s="167" t="s">
        <v>759</v>
      </c>
      <c r="F30" s="15"/>
      <c r="G30" s="15"/>
      <c r="H30" s="15"/>
      <c r="I30" s="15"/>
      <c r="J30" s="15"/>
      <c r="K30" s="15"/>
      <c r="L30" s="15"/>
      <c r="M30" s="15"/>
    </row>
    <row r="31" spans="2:13" x14ac:dyDescent="0.2">
      <c r="B31" s="15"/>
      <c r="C31" s="15"/>
      <c r="D31" s="15"/>
      <c r="E31" s="15"/>
      <c r="F31" s="15"/>
      <c r="G31" s="15"/>
      <c r="H31" s="15"/>
      <c r="I31" s="15"/>
      <c r="J31" s="15"/>
      <c r="K31" s="15"/>
      <c r="L31" s="15"/>
      <c r="M31" s="15"/>
    </row>
    <row r="32" spans="2:13" x14ac:dyDescent="0.2">
      <c r="B32" s="15"/>
      <c r="C32" s="135" t="s">
        <v>760</v>
      </c>
      <c r="D32" s="15"/>
      <c r="E32" s="60">
        <f>Acquirer!K147</f>
        <v>0</v>
      </c>
      <c r="F32" s="15"/>
      <c r="G32" s="15"/>
      <c r="H32" s="15"/>
      <c r="I32" s="15"/>
      <c r="J32" s="15"/>
      <c r="K32" s="15"/>
      <c r="L32" s="15"/>
      <c r="M32" s="15"/>
    </row>
    <row r="33" spans="2:13" x14ac:dyDescent="0.2">
      <c r="B33" s="15"/>
      <c r="C33" s="135" t="s">
        <v>761</v>
      </c>
      <c r="D33" s="15"/>
      <c r="E33" s="60">
        <f>Target!K147</f>
        <v>0</v>
      </c>
      <c r="F33" s="15"/>
      <c r="G33" s="15"/>
      <c r="H33" s="15"/>
      <c r="I33" s="15"/>
      <c r="J33" s="15"/>
      <c r="K33" s="15"/>
      <c r="L33" s="15"/>
      <c r="M33" s="15"/>
    </row>
    <row r="34" spans="2:13" x14ac:dyDescent="0.2">
      <c r="B34" s="15"/>
      <c r="C34" s="135" t="s">
        <v>762</v>
      </c>
      <c r="D34" s="15"/>
      <c r="E34" s="60">
        <f>Combined_BS!I40</f>
        <v>0</v>
      </c>
      <c r="F34" s="15"/>
      <c r="G34" s="15"/>
      <c r="H34" s="15"/>
      <c r="I34" s="15"/>
      <c r="J34" s="15"/>
      <c r="K34" s="15"/>
      <c r="L34" s="15"/>
      <c r="M34" s="15"/>
    </row>
    <row r="35" spans="2:13" x14ac:dyDescent="0.2">
      <c r="B35" s="15"/>
      <c r="C35" s="135" t="s">
        <v>763</v>
      </c>
      <c r="D35" s="15"/>
      <c r="E35" s="60">
        <f>Merger_Model!E69</f>
        <v>0</v>
      </c>
      <c r="F35" s="15"/>
      <c r="G35" s="15"/>
      <c r="H35" s="15"/>
      <c r="I35" s="15"/>
      <c r="J35" s="15"/>
      <c r="K35" s="15"/>
      <c r="L35" s="15"/>
      <c r="M35" s="15"/>
    </row>
    <row r="36" spans="2:13" x14ac:dyDescent="0.2">
      <c r="B36" s="15"/>
      <c r="C36" s="15"/>
      <c r="D36" s="15"/>
      <c r="E36" s="15"/>
      <c r="F36" s="15"/>
      <c r="G36" s="15"/>
      <c r="H36" s="15"/>
      <c r="I36" s="15"/>
      <c r="J36" s="15"/>
      <c r="K36" s="15"/>
      <c r="L36" s="15"/>
      <c r="M36" s="15"/>
    </row>
    <row r="37" spans="2:13" x14ac:dyDescent="0.2">
      <c r="B37" s="19" t="s">
        <v>764</v>
      </c>
      <c r="C37" s="19"/>
      <c r="D37" s="20"/>
      <c r="E37" s="19"/>
      <c r="F37" s="19"/>
      <c r="G37" s="19"/>
      <c r="H37" s="19"/>
      <c r="I37" s="19"/>
      <c r="J37" s="19"/>
      <c r="K37" s="19"/>
      <c r="L37" s="19"/>
      <c r="M37" s="15"/>
    </row>
    <row r="38" spans="2:13" x14ac:dyDescent="0.2">
      <c r="B38" s="15"/>
      <c r="C38" s="15"/>
      <c r="D38" s="15"/>
      <c r="E38" s="15"/>
      <c r="F38" s="15"/>
      <c r="G38" s="15"/>
      <c r="H38" s="15"/>
      <c r="I38" s="15"/>
      <c r="J38" s="15"/>
      <c r="K38" s="15"/>
      <c r="L38" s="15"/>
      <c r="M38" s="15"/>
    </row>
    <row r="39" spans="2:13" x14ac:dyDescent="0.2">
      <c r="B39" s="15"/>
      <c r="C39" s="5" t="s">
        <v>765</v>
      </c>
      <c r="D39" s="15"/>
      <c r="E39" s="168" t="s">
        <v>766</v>
      </c>
      <c r="F39" s="15"/>
      <c r="G39" s="15"/>
      <c r="H39" s="15"/>
      <c r="I39" s="15"/>
      <c r="J39" s="15"/>
      <c r="K39" s="15"/>
      <c r="L39" s="15"/>
      <c r="M39" s="15"/>
    </row>
    <row r="40" spans="2:13" x14ac:dyDescent="0.2">
      <c r="B40" s="15"/>
      <c r="C40" s="5" t="s">
        <v>15</v>
      </c>
      <c r="D40" s="15"/>
      <c r="E40" s="168" t="s">
        <v>767</v>
      </c>
      <c r="F40" s="15"/>
      <c r="G40" s="15"/>
      <c r="H40" s="15"/>
      <c r="I40" s="15"/>
      <c r="J40" s="15"/>
      <c r="K40" s="15"/>
      <c r="L40" s="15"/>
      <c r="M40" s="15"/>
    </row>
    <row r="41" spans="2:13" x14ac:dyDescent="0.2">
      <c r="B41" s="15"/>
      <c r="C41" s="5" t="s">
        <v>16</v>
      </c>
      <c r="D41" s="15"/>
      <c r="E41" s="168" t="s">
        <v>768</v>
      </c>
      <c r="F41" s="15"/>
      <c r="G41" s="15"/>
      <c r="H41" s="15"/>
      <c r="I41" s="15"/>
      <c r="J41" s="15"/>
      <c r="K41" s="15"/>
      <c r="L41" s="15"/>
      <c r="M41" s="15"/>
    </row>
    <row r="42" spans="2:13" x14ac:dyDescent="0.2">
      <c r="B42" s="15"/>
      <c r="C42" s="5" t="s">
        <v>769</v>
      </c>
      <c r="D42" s="15"/>
      <c r="E42" s="168" t="s">
        <v>770</v>
      </c>
      <c r="F42" s="15"/>
      <c r="G42" s="15"/>
      <c r="H42" s="15"/>
      <c r="I42" s="15"/>
      <c r="J42" s="15"/>
      <c r="K42" s="15"/>
      <c r="L42" s="15"/>
      <c r="M42" s="15"/>
    </row>
    <row r="43" spans="2:13" x14ac:dyDescent="0.2">
      <c r="B43" s="15"/>
      <c r="C43" s="5" t="s">
        <v>771</v>
      </c>
      <c r="D43" s="15"/>
      <c r="E43" s="168" t="s">
        <v>772</v>
      </c>
      <c r="F43" s="15"/>
      <c r="G43" s="15"/>
      <c r="H43" s="15"/>
      <c r="I43" s="15"/>
      <c r="J43" s="15"/>
      <c r="K43" s="15"/>
      <c r="L43" s="15"/>
      <c r="M43" s="15"/>
    </row>
    <row r="44" spans="2:13" x14ac:dyDescent="0.2">
      <c r="B44" s="15"/>
      <c r="C44" s="5" t="s">
        <v>773</v>
      </c>
      <c r="D44" s="15"/>
      <c r="E44" s="168" t="s">
        <v>774</v>
      </c>
      <c r="F44" s="15"/>
      <c r="G44" s="15"/>
      <c r="H44" s="15"/>
      <c r="I44" s="15"/>
      <c r="J44" s="15"/>
      <c r="K44" s="15"/>
      <c r="L44" s="15"/>
      <c r="M44" s="15"/>
    </row>
    <row r="45" spans="2:13" x14ac:dyDescent="0.2">
      <c r="B45" s="15"/>
      <c r="C45" s="5" t="s">
        <v>775</v>
      </c>
      <c r="D45" s="15"/>
      <c r="E45" s="168" t="s">
        <v>776</v>
      </c>
      <c r="F45" s="15"/>
      <c r="G45" s="15"/>
      <c r="H45" s="15"/>
      <c r="I45" s="15"/>
      <c r="J45" s="15"/>
      <c r="K45" s="15"/>
      <c r="L45" s="15"/>
      <c r="M45" s="15"/>
    </row>
    <row r="46" spans="2:13" x14ac:dyDescent="0.2">
      <c r="B46" s="15"/>
      <c r="C46" s="5" t="s">
        <v>777</v>
      </c>
      <c r="D46" s="15"/>
      <c r="E46" s="168" t="s">
        <v>778</v>
      </c>
      <c r="F46" s="15"/>
      <c r="G46" s="15"/>
      <c r="H46" s="15"/>
      <c r="I46" s="15"/>
      <c r="J46" s="15"/>
      <c r="K46" s="15"/>
      <c r="L46" s="15"/>
      <c r="M46" s="15"/>
    </row>
    <row r="47" spans="2:13" x14ac:dyDescent="0.2">
      <c r="B47" s="15"/>
      <c r="C47" s="5" t="s">
        <v>779</v>
      </c>
      <c r="D47" s="15"/>
      <c r="E47" s="168" t="s">
        <v>780</v>
      </c>
      <c r="F47" s="15"/>
      <c r="G47" s="15"/>
      <c r="H47" s="15"/>
      <c r="I47" s="15"/>
      <c r="J47" s="15"/>
      <c r="K47" s="15"/>
      <c r="L47" s="15"/>
      <c r="M47" s="15"/>
    </row>
    <row r="48" spans="2:13" x14ac:dyDescent="0.2">
      <c r="B48" s="15"/>
      <c r="C48" s="5" t="s">
        <v>781</v>
      </c>
      <c r="D48" s="15"/>
      <c r="E48" s="168" t="s">
        <v>782</v>
      </c>
      <c r="F48" s="15"/>
      <c r="G48" s="15"/>
      <c r="H48" s="15"/>
      <c r="I48" s="15"/>
      <c r="J48" s="15"/>
      <c r="K48" s="15"/>
      <c r="L48" s="15"/>
      <c r="M48" s="15"/>
    </row>
    <row r="49" spans="2:13" x14ac:dyDescent="0.2">
      <c r="B49" s="15"/>
      <c r="C49" s="5" t="s">
        <v>783</v>
      </c>
      <c r="D49" s="15"/>
      <c r="E49" s="168" t="s">
        <v>784</v>
      </c>
      <c r="F49" s="15"/>
      <c r="G49" s="15"/>
      <c r="H49" s="15"/>
      <c r="I49" s="15"/>
      <c r="J49" s="15"/>
      <c r="K49" s="15"/>
      <c r="L49" s="15"/>
      <c r="M49"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5EB9-8FF6-D449-A4CA-A4A3679EBAFC}">
  <dimension ref="B2:R221"/>
  <sheetViews>
    <sheetView showGridLines="0" tabSelected="1" topLeftCell="A191" workbookViewId="0">
      <selection activeCell="C211" sqref="C211"/>
    </sheetView>
  </sheetViews>
  <sheetFormatPr baseColWidth="10" defaultRowHeight="16" x14ac:dyDescent="0.2"/>
  <cols>
    <col min="1" max="2" width="2.83203125" customWidth="1"/>
    <col min="3" max="3" width="58" customWidth="1"/>
    <col min="18" max="18" width="11.5" bestFit="1" customWidth="1"/>
  </cols>
  <sheetData>
    <row r="2" spans="2:13" ht="20" x14ac:dyDescent="0.25">
      <c r="B2" s="111" t="s">
        <v>535</v>
      </c>
    </row>
    <row r="3" spans="2:13" x14ac:dyDescent="0.2">
      <c r="B3" s="22" t="s">
        <v>222</v>
      </c>
      <c r="M3" s="22"/>
    </row>
    <row r="4" spans="2:13" x14ac:dyDescent="0.2">
      <c r="B4" s="22" t="s">
        <v>299</v>
      </c>
      <c r="M4" s="22"/>
    </row>
    <row r="5" spans="2:13" x14ac:dyDescent="0.2">
      <c r="B5" s="19" t="s">
        <v>300</v>
      </c>
      <c r="C5" s="19"/>
      <c r="D5" s="20"/>
      <c r="E5" s="19"/>
      <c r="F5" s="19"/>
      <c r="G5" s="19"/>
      <c r="H5" s="19"/>
      <c r="I5" s="19"/>
      <c r="J5" s="19"/>
      <c r="K5" s="19"/>
      <c r="L5" s="19"/>
      <c r="M5" s="22" t="s">
        <v>301</v>
      </c>
    </row>
    <row r="6" spans="2:13" x14ac:dyDescent="0.2">
      <c r="M6" s="22"/>
    </row>
    <row r="7" spans="2:13" x14ac:dyDescent="0.2">
      <c r="C7" s="8" t="s">
        <v>302</v>
      </c>
      <c r="D7" s="22" t="s">
        <v>0</v>
      </c>
      <c r="E7" s="92">
        <v>46022</v>
      </c>
      <c r="F7" s="3" t="s">
        <v>461</v>
      </c>
      <c r="M7" s="22"/>
    </row>
    <row r="8" spans="2:13" x14ac:dyDescent="0.2">
      <c r="C8" s="8" t="s">
        <v>303</v>
      </c>
      <c r="D8" s="22" t="s">
        <v>0</v>
      </c>
      <c r="E8" s="92">
        <v>46022</v>
      </c>
      <c r="M8" s="22"/>
    </row>
    <row r="9" spans="2:13" x14ac:dyDescent="0.2">
      <c r="C9" s="8" t="s">
        <v>304</v>
      </c>
      <c r="D9" s="22" t="s">
        <v>1</v>
      </c>
      <c r="E9" s="121">
        <v>2</v>
      </c>
      <c r="M9" s="22" t="s">
        <v>305</v>
      </c>
    </row>
    <row r="10" spans="2:13" x14ac:dyDescent="0.2">
      <c r="C10" s="8" t="s">
        <v>306</v>
      </c>
      <c r="D10" s="22" t="s">
        <v>1</v>
      </c>
      <c r="E10" s="121">
        <v>1</v>
      </c>
      <c r="M10" s="22"/>
    </row>
    <row r="11" spans="2:13" x14ac:dyDescent="0.2">
      <c r="C11" s="8" t="s">
        <v>307</v>
      </c>
      <c r="D11" s="22" t="s">
        <v>1</v>
      </c>
      <c r="E11" s="121">
        <v>1</v>
      </c>
      <c r="M11" s="22"/>
    </row>
    <row r="12" spans="2:13" x14ac:dyDescent="0.2">
      <c r="C12" s="8" t="s">
        <v>308</v>
      </c>
      <c r="D12" s="22" t="s">
        <v>4</v>
      </c>
      <c r="E12" s="116">
        <v>1</v>
      </c>
      <c r="M12" s="22"/>
    </row>
    <row r="13" spans="2:13" x14ac:dyDescent="0.2">
      <c r="D13" s="22"/>
      <c r="M13" s="22"/>
    </row>
    <row r="14" spans="2:13" x14ac:dyDescent="0.2">
      <c r="C14" s="8" t="s">
        <v>309</v>
      </c>
      <c r="D14" s="22" t="s">
        <v>2</v>
      </c>
      <c r="E14" s="122">
        <v>1.4</v>
      </c>
      <c r="M14" s="22" t="s">
        <v>310</v>
      </c>
    </row>
    <row r="15" spans="2:13" x14ac:dyDescent="0.2">
      <c r="C15" s="5" t="s">
        <v>311</v>
      </c>
      <c r="D15" s="22" t="s">
        <v>312</v>
      </c>
      <c r="E15" s="123">
        <f>E14*Acquirer!E11</f>
        <v>48.3</v>
      </c>
      <c r="M15" s="22"/>
    </row>
    <row r="16" spans="2:13" x14ac:dyDescent="0.2">
      <c r="C16" s="8" t="s">
        <v>313</v>
      </c>
      <c r="D16" s="22" t="s">
        <v>312</v>
      </c>
      <c r="E16" s="106">
        <f>Target!$E$11</f>
        <v>37.799999999999997</v>
      </c>
      <c r="M16" s="22"/>
    </row>
    <row r="17" spans="2:13" x14ac:dyDescent="0.2">
      <c r="C17" s="5" t="s">
        <v>314</v>
      </c>
      <c r="D17" s="22" t="s">
        <v>4</v>
      </c>
      <c r="E17" s="109">
        <f>E15/E16-1</f>
        <v>0.2777777777777779</v>
      </c>
      <c r="M17" s="22"/>
    </row>
    <row r="18" spans="2:13" x14ac:dyDescent="0.2">
      <c r="D18" s="22"/>
      <c r="M18" s="22"/>
    </row>
    <row r="19" spans="2:13" x14ac:dyDescent="0.2">
      <c r="C19" s="8" t="s">
        <v>315</v>
      </c>
      <c r="D19" s="22" t="s">
        <v>49</v>
      </c>
      <c r="E19" s="124">
        <f>Target!E13+IF(Merger_Model!E15&gt;Target!S16,Target!$R$16-Target!$R$16*Target!$S$16/Merger_Model!E15,0)+Target!R17</f>
        <v>55.855900621118018</v>
      </c>
      <c r="M19" s="22" t="s">
        <v>536</v>
      </c>
    </row>
    <row r="20" spans="2:13" x14ac:dyDescent="0.2">
      <c r="C20" s="5" t="s">
        <v>316</v>
      </c>
      <c r="D20" s="22" t="s">
        <v>61</v>
      </c>
      <c r="E20" s="7">
        <f>E15*E19</f>
        <v>2697.84</v>
      </c>
      <c r="M20" s="22"/>
    </row>
    <row r="21" spans="2:13" x14ac:dyDescent="0.2">
      <c r="C21" s="8" t="s">
        <v>317</v>
      </c>
      <c r="D21" s="22" t="s">
        <v>61</v>
      </c>
      <c r="E21" s="108">
        <f>Target!F135</f>
        <v>506.7</v>
      </c>
      <c r="M21" s="22" t="s">
        <v>318</v>
      </c>
    </row>
    <row r="22" spans="2:13" x14ac:dyDescent="0.2">
      <c r="C22" s="8" t="s">
        <v>319</v>
      </c>
      <c r="D22" s="22" t="s">
        <v>61</v>
      </c>
      <c r="E22" s="108">
        <f>-Target!F116</f>
        <v>-220.26067174994691</v>
      </c>
      <c r="M22" s="22"/>
    </row>
    <row r="23" spans="2:13" ht="17" thickBot="1" x14ac:dyDescent="0.25">
      <c r="C23" s="5" t="s">
        <v>320</v>
      </c>
      <c r="D23" s="22" t="s">
        <v>61</v>
      </c>
      <c r="E23" s="11">
        <f>SUM(E20:E22)</f>
        <v>2984.2793282500529</v>
      </c>
      <c r="M23" s="22"/>
    </row>
    <row r="24" spans="2:13" ht="17" thickTop="1" x14ac:dyDescent="0.2">
      <c r="D24" s="22"/>
      <c r="M24" s="22"/>
    </row>
    <row r="25" spans="2:13" x14ac:dyDescent="0.2">
      <c r="C25" s="8" t="s">
        <v>321</v>
      </c>
      <c r="D25" s="22" t="s">
        <v>2</v>
      </c>
      <c r="E25" s="63">
        <f>E23/Target!F90</f>
        <v>1.1018199476647785</v>
      </c>
      <c r="M25" s="22"/>
    </row>
    <row r="26" spans="2:13" x14ac:dyDescent="0.2">
      <c r="C26" s="8" t="s">
        <v>322</v>
      </c>
      <c r="D26" s="22" t="s">
        <v>2</v>
      </c>
      <c r="E26" s="63">
        <f>E23/Target!E192</f>
        <v>10.558162203513065</v>
      </c>
      <c r="M26" s="22"/>
    </row>
    <row r="27" spans="2:13" x14ac:dyDescent="0.2">
      <c r="C27" s="8" t="s">
        <v>323</v>
      </c>
      <c r="D27" s="22" t="s">
        <v>2</v>
      </c>
      <c r="E27" s="63">
        <f>E23/Target!F192</f>
        <v>9.3927606514141662</v>
      </c>
      <c r="M27" s="22" t="s">
        <v>324</v>
      </c>
    </row>
    <row r="28" spans="2:13" x14ac:dyDescent="0.2">
      <c r="C28" s="8" t="s">
        <v>325</v>
      </c>
      <c r="D28" s="22" t="s">
        <v>2</v>
      </c>
      <c r="E28" s="63">
        <f>E20/Target!F108</f>
        <v>15.434651361797885</v>
      </c>
      <c r="M28" s="22"/>
    </row>
    <row r="29" spans="2:13" x14ac:dyDescent="0.2">
      <c r="M29" s="22"/>
    </row>
    <row r="30" spans="2:13" x14ac:dyDescent="0.2">
      <c r="B30" s="19" t="s">
        <v>326</v>
      </c>
      <c r="C30" s="19"/>
      <c r="D30" s="20"/>
      <c r="E30" s="19"/>
      <c r="F30" s="19"/>
      <c r="G30" s="19"/>
      <c r="H30" s="19"/>
      <c r="I30" s="19"/>
      <c r="J30" s="19"/>
      <c r="K30" s="19"/>
      <c r="L30" s="19"/>
      <c r="M30" s="22" t="s">
        <v>327</v>
      </c>
    </row>
    <row r="31" spans="2:13" x14ac:dyDescent="0.2">
      <c r="C31" s="8" t="s">
        <v>328</v>
      </c>
      <c r="D31" s="22" t="s">
        <v>61</v>
      </c>
      <c r="E31" s="10">
        <v>200</v>
      </c>
      <c r="M31" s="22" t="s">
        <v>329</v>
      </c>
    </row>
    <row r="32" spans="2:13" x14ac:dyDescent="0.2">
      <c r="C32" s="8" t="s">
        <v>330</v>
      </c>
      <c r="D32" s="22" t="s">
        <v>61</v>
      </c>
      <c r="E32" s="108">
        <f>Acquirer!F116+Target!F116</f>
        <v>582.42508875081012</v>
      </c>
      <c r="M32" s="22"/>
    </row>
    <row r="33" spans="2:18" x14ac:dyDescent="0.2">
      <c r="C33" s="5" t="s">
        <v>331</v>
      </c>
      <c r="D33" s="22" t="s">
        <v>61</v>
      </c>
      <c r="E33" s="7">
        <f>MAX(E32-E31,0)</f>
        <v>382.42508875081012</v>
      </c>
      <c r="M33" s="22"/>
    </row>
    <row r="34" spans="2:18" x14ac:dyDescent="0.2">
      <c r="C34" s="8" t="s">
        <v>332</v>
      </c>
      <c r="D34" s="22" t="s">
        <v>2</v>
      </c>
      <c r="E34" s="125">
        <v>4</v>
      </c>
      <c r="M34" s="22" t="s">
        <v>537</v>
      </c>
    </row>
    <row r="35" spans="2:18" x14ac:dyDescent="0.2">
      <c r="C35" s="8" t="s">
        <v>333</v>
      </c>
      <c r="D35" s="22" t="s">
        <v>61</v>
      </c>
      <c r="E35" s="108">
        <f>Acquirer!F192+Target!F192</f>
        <v>953.52712219999967</v>
      </c>
      <c r="M35" s="22"/>
    </row>
    <row r="36" spans="2:18" x14ac:dyDescent="0.2">
      <c r="C36" s="8" t="s">
        <v>334</v>
      </c>
      <c r="D36" s="22" t="s">
        <v>61</v>
      </c>
      <c r="E36" s="108">
        <f>Acquirer!F135+Target!F135</f>
        <v>2040.9</v>
      </c>
      <c r="M36" s="22"/>
    </row>
    <row r="37" spans="2:18" x14ac:dyDescent="0.2">
      <c r="C37" s="5" t="s">
        <v>335</v>
      </c>
      <c r="D37" s="22" t="s">
        <v>61</v>
      </c>
      <c r="E37" s="7">
        <f>MAX(E34*E35-E36,0)</f>
        <v>1773.2084887999986</v>
      </c>
      <c r="M37" s="22"/>
    </row>
    <row r="38" spans="2:18" x14ac:dyDescent="0.2">
      <c r="C38" s="8" t="s">
        <v>457</v>
      </c>
      <c r="D38" s="22" t="s">
        <v>336</v>
      </c>
      <c r="E38" s="126">
        <v>200</v>
      </c>
      <c r="M38" s="22"/>
    </row>
    <row r="39" spans="2:18" x14ac:dyDescent="0.2">
      <c r="C39" s="8" t="s">
        <v>459</v>
      </c>
      <c r="D39" s="22" t="s">
        <v>4</v>
      </c>
      <c r="E39" s="62">
        <f>Acquirer!E75+Merger_Model!E38/10000</f>
        <v>7.7499999999999999E-2</v>
      </c>
      <c r="M39" s="22" t="s">
        <v>337</v>
      </c>
    </row>
    <row r="40" spans="2:18" x14ac:dyDescent="0.2">
      <c r="C40" s="8" t="s">
        <v>458</v>
      </c>
      <c r="D40" s="22" t="s">
        <v>4</v>
      </c>
      <c r="E40" s="48">
        <v>0.01</v>
      </c>
      <c r="M40" s="22"/>
    </row>
    <row r="41" spans="2:18" x14ac:dyDescent="0.2">
      <c r="C41" s="8" t="s">
        <v>460</v>
      </c>
      <c r="D41" s="22" t="s">
        <v>338</v>
      </c>
      <c r="E41" s="49">
        <v>5</v>
      </c>
      <c r="M41" s="22"/>
    </row>
    <row r="42" spans="2:18" x14ac:dyDescent="0.2">
      <c r="C42" s="8" t="s">
        <v>339</v>
      </c>
      <c r="D42" s="22" t="s">
        <v>4</v>
      </c>
      <c r="E42" s="52">
        <v>3.5000000000000003E-2</v>
      </c>
      <c r="M42" s="22" t="s">
        <v>538</v>
      </c>
    </row>
    <row r="43" spans="2:18" x14ac:dyDescent="0.2">
      <c r="D43" s="22"/>
      <c r="M43" s="22"/>
    </row>
    <row r="44" spans="2:18" x14ac:dyDescent="0.2">
      <c r="C44" s="8" t="s">
        <v>340</v>
      </c>
      <c r="D44" s="22" t="s">
        <v>4</v>
      </c>
      <c r="E44" s="48">
        <v>0.01</v>
      </c>
      <c r="M44" s="22"/>
    </row>
    <row r="45" spans="2:18" x14ac:dyDescent="0.2">
      <c r="C45" s="8" t="s">
        <v>341</v>
      </c>
      <c r="D45" s="22" t="s">
        <v>4</v>
      </c>
      <c r="E45" s="48">
        <v>0.02</v>
      </c>
      <c r="M45" s="22"/>
      <c r="N45" s="141"/>
    </row>
    <row r="46" spans="2:18" x14ac:dyDescent="0.2">
      <c r="C46" s="8" t="s">
        <v>342</v>
      </c>
      <c r="D46" s="22" t="s">
        <v>61</v>
      </c>
      <c r="E46" s="10">
        <v>12</v>
      </c>
      <c r="M46" s="22"/>
      <c r="R46" s="142"/>
    </row>
    <row r="47" spans="2:18" x14ac:dyDescent="0.2">
      <c r="M47" s="22"/>
    </row>
    <row r="48" spans="2:18" x14ac:dyDescent="0.2">
      <c r="B48" s="19" t="s">
        <v>343</v>
      </c>
      <c r="C48" s="19"/>
      <c r="D48" s="20"/>
      <c r="E48" s="19"/>
      <c r="F48" s="19"/>
      <c r="G48" s="19"/>
      <c r="H48" s="19"/>
      <c r="I48" s="19"/>
      <c r="J48" s="19"/>
      <c r="K48" s="19"/>
      <c r="L48" s="19"/>
      <c r="M48" s="22"/>
    </row>
    <row r="49" spans="2:13" x14ac:dyDescent="0.2">
      <c r="C49" s="8" t="s">
        <v>344</v>
      </c>
      <c r="D49" s="22" t="s">
        <v>61</v>
      </c>
      <c r="E49" s="9">
        <f>IF(E9=2,0,MIN(E33,E20))</f>
        <v>0</v>
      </c>
      <c r="M49" s="22"/>
    </row>
    <row r="50" spans="2:13" x14ac:dyDescent="0.2">
      <c r="C50" s="8" t="s">
        <v>345</v>
      </c>
      <c r="D50" s="22" t="s">
        <v>61</v>
      </c>
      <c r="E50" s="9">
        <f>IF(E9=2,0,MIN(E37,MAX(E20-E49,0)))</f>
        <v>0</v>
      </c>
      <c r="M50" s="22"/>
    </row>
    <row r="51" spans="2:13" x14ac:dyDescent="0.2">
      <c r="C51" s="8" t="s">
        <v>346</v>
      </c>
      <c r="D51" s="22" t="s">
        <v>61</v>
      </c>
      <c r="E51" s="9">
        <f>E20-E49-E50</f>
        <v>2697.84</v>
      </c>
      <c r="M51" s="22" t="s">
        <v>347</v>
      </c>
    </row>
    <row r="52" spans="2:13" x14ac:dyDescent="0.2">
      <c r="C52" s="5" t="s">
        <v>348</v>
      </c>
      <c r="D52" s="22" t="s">
        <v>61</v>
      </c>
      <c r="E52" s="59">
        <f>SUM(E49:E51)</f>
        <v>2697.84</v>
      </c>
      <c r="M52" s="22"/>
    </row>
    <row r="53" spans="2:13" x14ac:dyDescent="0.2">
      <c r="C53" s="5" t="s">
        <v>349</v>
      </c>
      <c r="D53" s="22" t="s">
        <v>49</v>
      </c>
      <c r="E53" s="127">
        <f>E51/Acquirer!$E$11</f>
        <v>78.198260869565217</v>
      </c>
      <c r="M53" s="22" t="s">
        <v>350</v>
      </c>
    </row>
    <row r="54" spans="2:13" x14ac:dyDescent="0.2">
      <c r="C54" s="8" t="s">
        <v>351</v>
      </c>
      <c r="D54" s="22" t="s">
        <v>61</v>
      </c>
      <c r="E54" s="128">
        <f>ROUND(E52-E20,6)</f>
        <v>0</v>
      </c>
      <c r="M54" s="22"/>
    </row>
    <row r="55" spans="2:13" x14ac:dyDescent="0.2">
      <c r="D55" s="22"/>
      <c r="M55" s="22"/>
    </row>
    <row r="56" spans="2:13" x14ac:dyDescent="0.2">
      <c r="C56" s="5" t="s">
        <v>352</v>
      </c>
      <c r="D56" s="22" t="s">
        <v>4</v>
      </c>
      <c r="E56" s="129">
        <f>IFERROR((E49*E42*(1-Acquirer!$E$10)+E50*E39*(1-Acquirer!$E$10)+E51*(Acquirer!G111/Acquirer!$E$11))/E20,0)</f>
        <v>9.1444435980080521E-2</v>
      </c>
      <c r="M56" s="22" t="s">
        <v>353</v>
      </c>
    </row>
    <row r="57" spans="2:13" x14ac:dyDescent="0.2">
      <c r="C57" s="5" t="s">
        <v>354</v>
      </c>
      <c r="D57" s="22" t="s">
        <v>4</v>
      </c>
      <c r="E57" s="129">
        <f>Target!G108/Merger_Model!E20</f>
        <v>7.3932951496349777E-2</v>
      </c>
      <c r="M57" s="22"/>
    </row>
    <row r="58" spans="2:13" x14ac:dyDescent="0.2">
      <c r="C58" s="5" t="s">
        <v>355</v>
      </c>
      <c r="E58" s="58" t="str">
        <f>IF(E57&gt;E56,"ACCRETIVE -target yield exceeds cost of capital","DILUTIVE -cost of capital exceeds target yield")</f>
        <v>DILUTIVE -cost of capital exceeds target yield</v>
      </c>
      <c r="M58" s="22" t="s">
        <v>356</v>
      </c>
    </row>
    <row r="59" spans="2:13" x14ac:dyDescent="0.2">
      <c r="M59" s="22"/>
    </row>
    <row r="60" spans="2:13" x14ac:dyDescent="0.2">
      <c r="B60" s="19" t="s">
        <v>357</v>
      </c>
      <c r="C60" s="19"/>
      <c r="D60" s="20"/>
      <c r="E60" s="19"/>
      <c r="F60" s="19"/>
      <c r="G60" s="19"/>
      <c r="H60" s="19"/>
      <c r="I60" s="19"/>
      <c r="J60" s="19"/>
      <c r="K60" s="19"/>
      <c r="L60" s="19"/>
      <c r="M60" s="22"/>
    </row>
    <row r="61" spans="2:13" x14ac:dyDescent="0.2">
      <c r="M61" s="22"/>
    </row>
    <row r="62" spans="2:13" x14ac:dyDescent="0.2">
      <c r="C62" s="130" t="s">
        <v>358</v>
      </c>
      <c r="E62" s="102" t="s">
        <v>61</v>
      </c>
      <c r="G62" s="130" t="s">
        <v>359</v>
      </c>
      <c r="K62" s="102" t="s">
        <v>61</v>
      </c>
      <c r="M62" s="22"/>
    </row>
    <row r="63" spans="2:13" x14ac:dyDescent="0.2">
      <c r="C63" s="8" t="s">
        <v>360</v>
      </c>
      <c r="E63" s="9">
        <f>E49+E44*E20+E46</f>
        <v>38.978400000000001</v>
      </c>
      <c r="G63" s="8" t="s">
        <v>361</v>
      </c>
      <c r="K63" s="9">
        <f>E20</f>
        <v>2697.84</v>
      </c>
      <c r="M63" s="22" t="s">
        <v>362</v>
      </c>
    </row>
    <row r="64" spans="2:13" x14ac:dyDescent="0.2">
      <c r="C64" s="8" t="s">
        <v>363</v>
      </c>
      <c r="E64" s="9">
        <f>E50</f>
        <v>0</v>
      </c>
      <c r="G64" s="8" t="s">
        <v>364</v>
      </c>
      <c r="K64" s="9">
        <f>E21</f>
        <v>506.7</v>
      </c>
      <c r="M64" s="22"/>
    </row>
    <row r="65" spans="2:13" x14ac:dyDescent="0.2">
      <c r="C65" s="8" t="s">
        <v>365</v>
      </c>
      <c r="E65" s="9">
        <f>E21</f>
        <v>506.7</v>
      </c>
      <c r="G65" s="8" t="s">
        <v>366</v>
      </c>
      <c r="K65" s="9">
        <f>E44*E20</f>
        <v>26.978400000000001</v>
      </c>
      <c r="M65" s="22"/>
    </row>
    <row r="66" spans="2:13" x14ac:dyDescent="0.2">
      <c r="C66" s="8" t="s">
        <v>367</v>
      </c>
      <c r="E66" s="9">
        <f>E51</f>
        <v>2697.84</v>
      </c>
      <c r="G66" s="8" t="s">
        <v>342</v>
      </c>
      <c r="K66" s="9">
        <f>E46</f>
        <v>12</v>
      </c>
      <c r="M66" s="22"/>
    </row>
    <row r="67" spans="2:13" x14ac:dyDescent="0.2">
      <c r="C67" s="8" t="s">
        <v>368</v>
      </c>
      <c r="E67" s="9">
        <f>E45*(E50+E21)</f>
        <v>10.134</v>
      </c>
      <c r="G67" s="8" t="s">
        <v>369</v>
      </c>
      <c r="K67" s="9">
        <f>E45*(E50+E21)</f>
        <v>10.134</v>
      </c>
      <c r="M67" s="22"/>
    </row>
    <row r="68" spans="2:13" ht="17" thickBot="1" x14ac:dyDescent="0.25">
      <c r="C68" s="58" t="s">
        <v>370</v>
      </c>
      <c r="E68" s="11">
        <f>SUM(E63:E67)</f>
        <v>3253.6523999999999</v>
      </c>
      <c r="G68" s="58" t="s">
        <v>371</v>
      </c>
      <c r="K68" s="11">
        <f>SUM(K63:K67)</f>
        <v>3253.6523999999999</v>
      </c>
      <c r="M68" s="22"/>
    </row>
    <row r="69" spans="2:13" ht="17" thickTop="1" x14ac:dyDescent="0.2">
      <c r="C69" s="58" t="s">
        <v>372</v>
      </c>
      <c r="E69" s="60">
        <f>ROUND(E68-K68,6)</f>
        <v>0</v>
      </c>
      <c r="M69" s="22"/>
    </row>
    <row r="70" spans="2:13" x14ac:dyDescent="0.2">
      <c r="M70" s="22"/>
    </row>
    <row r="71" spans="2:13" x14ac:dyDescent="0.2">
      <c r="B71" s="19" t="s">
        <v>373</v>
      </c>
      <c r="C71" s="19"/>
      <c r="D71" s="20"/>
      <c r="E71" s="19"/>
      <c r="F71" s="19"/>
      <c r="G71" s="19"/>
      <c r="H71" s="19"/>
      <c r="I71" s="19"/>
      <c r="J71" s="19"/>
      <c r="K71" s="19"/>
      <c r="L71" s="19"/>
      <c r="M71" s="22" t="s">
        <v>374</v>
      </c>
    </row>
    <row r="72" spans="2:13" x14ac:dyDescent="0.2">
      <c r="M72" s="22"/>
    </row>
    <row r="73" spans="2:13" x14ac:dyDescent="0.2">
      <c r="C73" s="130" t="s">
        <v>375</v>
      </c>
      <c r="E73" s="102" t="s">
        <v>61</v>
      </c>
      <c r="G73" s="130" t="s">
        <v>376</v>
      </c>
      <c r="K73" s="102" t="s">
        <v>19</v>
      </c>
      <c r="M73" s="22"/>
    </row>
    <row r="74" spans="2:13" x14ac:dyDescent="0.2">
      <c r="C74" s="8" t="s">
        <v>316</v>
      </c>
      <c r="E74" s="9">
        <f>E20</f>
        <v>2697.84</v>
      </c>
      <c r="G74" s="8" t="s">
        <v>377</v>
      </c>
      <c r="K74" s="116">
        <v>0.15</v>
      </c>
      <c r="M74" s="22" t="s">
        <v>378</v>
      </c>
    </row>
    <row r="75" spans="2:13" x14ac:dyDescent="0.2">
      <c r="C75" s="8" t="s">
        <v>379</v>
      </c>
      <c r="E75" s="108">
        <f>-Target!F143</f>
        <v>-1132.5583201076684</v>
      </c>
      <c r="G75" s="8" t="s">
        <v>380</v>
      </c>
      <c r="K75" s="9">
        <f>K74*Target!F121</f>
        <v>42.093885</v>
      </c>
      <c r="M75" s="22"/>
    </row>
    <row r="76" spans="2:13" x14ac:dyDescent="0.2">
      <c r="C76" s="8" t="s">
        <v>381</v>
      </c>
      <c r="E76" s="108">
        <f>Target!F123</f>
        <v>470</v>
      </c>
      <c r="G76" s="8" t="s">
        <v>382</v>
      </c>
      <c r="K76" s="121">
        <v>15</v>
      </c>
      <c r="M76" s="22"/>
    </row>
    <row r="77" spans="2:13" x14ac:dyDescent="0.2">
      <c r="C77" s="5" t="s">
        <v>383</v>
      </c>
      <c r="E77" s="59">
        <f>SUM(E74:E76)</f>
        <v>2035.2816798923318</v>
      </c>
      <c r="G77" s="8" t="s">
        <v>384</v>
      </c>
      <c r="K77" s="9">
        <f>K75/K76</f>
        <v>2.8062589999999998</v>
      </c>
      <c r="M77" s="22"/>
    </row>
    <row r="78" spans="2:13" x14ac:dyDescent="0.2">
      <c r="M78" s="22"/>
    </row>
    <row r="79" spans="2:13" x14ac:dyDescent="0.2">
      <c r="C79" s="8" t="s">
        <v>385</v>
      </c>
      <c r="E79" s="9">
        <f>-K79</f>
        <v>-42.093885</v>
      </c>
      <c r="G79" s="8" t="s">
        <v>386</v>
      </c>
      <c r="K79" s="9">
        <f>K75</f>
        <v>42.093885</v>
      </c>
      <c r="M79" s="22"/>
    </row>
    <row r="80" spans="2:13" x14ac:dyDescent="0.2">
      <c r="C80" s="8" t="s">
        <v>387</v>
      </c>
      <c r="E80" s="9">
        <f>-K84</f>
        <v>-377.69760000000002</v>
      </c>
      <c r="G80" s="8" t="s">
        <v>388</v>
      </c>
      <c r="K80" s="116">
        <v>0.03</v>
      </c>
      <c r="M80" s="22" t="s">
        <v>389</v>
      </c>
    </row>
    <row r="81" spans="2:13" x14ac:dyDescent="0.2">
      <c r="C81" s="8" t="s">
        <v>390</v>
      </c>
      <c r="E81" s="108">
        <f>-Target!F137</f>
        <v>-12.53762378027854</v>
      </c>
      <c r="G81" s="8" t="s">
        <v>391</v>
      </c>
      <c r="K81" s="9">
        <f>K80*E20</f>
        <v>80.935199999999995</v>
      </c>
      <c r="M81" s="22"/>
    </row>
    <row r="82" spans="2:13" x14ac:dyDescent="0.2">
      <c r="C82" s="8" t="s">
        <v>392</v>
      </c>
      <c r="E82" s="9">
        <f>K86</f>
        <v>100.7499564</v>
      </c>
      <c r="G82" s="8" t="s">
        <v>393</v>
      </c>
      <c r="K82" s="116">
        <v>0.11</v>
      </c>
      <c r="M82" s="22" t="s">
        <v>394</v>
      </c>
    </row>
    <row r="83" spans="2:13" ht="17" thickBot="1" x14ac:dyDescent="0.25">
      <c r="C83" s="5" t="s">
        <v>395</v>
      </c>
      <c r="E83" s="11">
        <f>E77+SUM(E79:E82)</f>
        <v>1703.7025275120532</v>
      </c>
      <c r="G83" s="8" t="s">
        <v>396</v>
      </c>
      <c r="K83" s="9">
        <f>K82*E20</f>
        <v>296.76240000000001</v>
      </c>
      <c r="M83" s="22"/>
    </row>
    <row r="84" spans="2:13" ht="17" thickTop="1" x14ac:dyDescent="0.2">
      <c r="G84" s="8" t="s">
        <v>397</v>
      </c>
      <c r="K84" s="9">
        <f>K81+K83</f>
        <v>377.69760000000002</v>
      </c>
      <c r="M84" s="22"/>
    </row>
    <row r="85" spans="2:13" x14ac:dyDescent="0.2">
      <c r="C85" s="8" t="s">
        <v>398</v>
      </c>
      <c r="D85" s="6" t="s">
        <v>4</v>
      </c>
      <c r="E85" s="61">
        <f>E83/E20</f>
        <v>0.63150614102839797</v>
      </c>
      <c r="G85" s="8" t="s">
        <v>399</v>
      </c>
      <c r="K85" s="121">
        <v>12</v>
      </c>
      <c r="M85" s="22"/>
    </row>
    <row r="86" spans="2:13" x14ac:dyDescent="0.2">
      <c r="G86" s="8" t="s">
        <v>400</v>
      </c>
      <c r="K86" s="9">
        <f>(K75+K84)*Acquirer!$E$10</f>
        <v>100.7499564</v>
      </c>
      <c r="M86" s="22"/>
    </row>
    <row r="87" spans="2:13" x14ac:dyDescent="0.2">
      <c r="G87" s="8" t="s">
        <v>401</v>
      </c>
      <c r="K87" s="9">
        <f>K83/K85</f>
        <v>24.7302</v>
      </c>
      <c r="M87" s="22"/>
    </row>
    <row r="88" spans="2:13" x14ac:dyDescent="0.2">
      <c r="B88" s="19" t="s">
        <v>402</v>
      </c>
      <c r="C88" s="19"/>
      <c r="D88" s="20"/>
      <c r="E88" s="19"/>
      <c r="F88" s="19"/>
      <c r="G88" s="19" t="s">
        <v>403</v>
      </c>
      <c r="H88" s="19" t="s">
        <v>404</v>
      </c>
      <c r="I88" s="19" t="s">
        <v>405</v>
      </c>
      <c r="J88" s="19" t="s">
        <v>406</v>
      </c>
      <c r="K88" s="19" t="s">
        <v>407</v>
      </c>
      <c r="L88" s="19"/>
      <c r="M88" s="22" t="s">
        <v>408</v>
      </c>
    </row>
    <row r="89" spans="2:13" x14ac:dyDescent="0.2">
      <c r="D89" s="22" t="s">
        <v>134</v>
      </c>
      <c r="E89" s="143">
        <f>EOMONTH(F89,-12)</f>
        <v>45657</v>
      </c>
      <c r="F89" s="143">
        <f>E8</f>
        <v>46022</v>
      </c>
      <c r="G89" s="143">
        <f>EOMONTH(F89,12)</f>
        <v>46387</v>
      </c>
      <c r="H89" s="143">
        <f t="shared" ref="H89:K89" si="0">EOMONTH(G89,12)</f>
        <v>46752</v>
      </c>
      <c r="I89" s="143">
        <f t="shared" si="0"/>
        <v>47118</v>
      </c>
      <c r="J89" s="143">
        <f t="shared" si="0"/>
        <v>47483</v>
      </c>
      <c r="K89" s="143">
        <f t="shared" si="0"/>
        <v>47848</v>
      </c>
      <c r="M89" s="22"/>
    </row>
    <row r="90" spans="2:13" x14ac:dyDescent="0.2">
      <c r="C90" s="13" t="s">
        <v>6</v>
      </c>
      <c r="D90" s="22"/>
      <c r="M90" s="22"/>
    </row>
    <row r="91" spans="2:13" x14ac:dyDescent="0.2">
      <c r="C91" s="14" t="s">
        <v>409</v>
      </c>
      <c r="D91" s="22" t="s">
        <v>61</v>
      </c>
      <c r="G91" s="108">
        <f>Acquirer!G90</f>
        <v>6756.0869999999995</v>
      </c>
      <c r="H91" s="108">
        <f>Acquirer!H90</f>
        <v>7060.9884899999997</v>
      </c>
      <c r="I91" s="108">
        <f>Acquirer!I90</f>
        <v>7353.2208536790004</v>
      </c>
      <c r="J91" s="108">
        <f>Acquirer!J90</f>
        <v>7627.6141224919947</v>
      </c>
      <c r="K91" s="108">
        <f>Acquirer!K90</f>
        <v>7879.6500020735157</v>
      </c>
      <c r="M91" s="22"/>
    </row>
    <row r="92" spans="2:13" x14ac:dyDescent="0.2">
      <c r="C92" s="14" t="s">
        <v>410</v>
      </c>
      <c r="D92" s="22" t="s">
        <v>61</v>
      </c>
      <c r="G92" s="108">
        <f>Target!G90</f>
        <v>2854.0245</v>
      </c>
      <c r="H92" s="108">
        <f>Target!H90</f>
        <v>3000.0668437499999</v>
      </c>
      <c r="I92" s="108">
        <f>Target!I90</f>
        <v>3143.3389229650002</v>
      </c>
      <c r="J92" s="108">
        <f>Target!J90</f>
        <v>3280.8121784535847</v>
      </c>
      <c r="K92" s="108">
        <f>Target!K90</f>
        <v>3408.3885641676434</v>
      </c>
      <c r="M92" s="22"/>
    </row>
    <row r="93" spans="2:13" x14ac:dyDescent="0.2">
      <c r="C93" s="14" t="s">
        <v>411</v>
      </c>
      <c r="D93" s="22" t="s">
        <v>61</v>
      </c>
      <c r="G93" s="108">
        <f>Synergies!G26</f>
        <v>76.412174999999991</v>
      </c>
      <c r="H93" s="108">
        <f>Synergies!H26</f>
        <v>160.4745198</v>
      </c>
      <c r="I93" s="108">
        <f>Synergies!I26</f>
        <v>251.91614006999998</v>
      </c>
      <c r="J93" s="108">
        <f>Synergies!J26</f>
        <v>310.947656699064</v>
      </c>
      <c r="K93" s="108">
        <f>Synergies!K26</f>
        <v>322.64634715008697</v>
      </c>
      <c r="M93" s="22"/>
    </row>
    <row r="94" spans="2:13" x14ac:dyDescent="0.2">
      <c r="C94" s="5" t="s">
        <v>76</v>
      </c>
      <c r="D94" s="22" t="s">
        <v>61</v>
      </c>
      <c r="G94" s="59">
        <f>SUM(G91:G93)</f>
        <v>9686.5236749999985</v>
      </c>
      <c r="H94" s="59">
        <f>SUM(H91:H93)</f>
        <v>10221.529853549999</v>
      </c>
      <c r="I94" s="59">
        <f>SUM(I91:I93)</f>
        <v>10748.475916714</v>
      </c>
      <c r="J94" s="59">
        <f>SUM(J91:J93)</f>
        <v>11219.373957644642</v>
      </c>
      <c r="K94" s="59">
        <f>SUM(K91:K93)</f>
        <v>11610.684913391246</v>
      </c>
      <c r="M94" s="22"/>
    </row>
    <row r="95" spans="2:13" x14ac:dyDescent="0.2">
      <c r="D95" s="22"/>
      <c r="M95" s="22"/>
    </row>
    <row r="96" spans="2:13" x14ac:dyDescent="0.2">
      <c r="C96" s="14" t="s">
        <v>539</v>
      </c>
      <c r="D96" s="22" t="s">
        <v>61</v>
      </c>
      <c r="G96" s="108">
        <f>Acquirer!G91</f>
        <v>-4945.4556839999996</v>
      </c>
      <c r="H96" s="108">
        <f>Acquirer!H91</f>
        <v>-5154.5215976999998</v>
      </c>
      <c r="I96" s="108">
        <f>Acquirer!I91</f>
        <v>-5360.4980023319913</v>
      </c>
      <c r="J96" s="108">
        <f>Acquirer!J91</f>
        <v>-5552.9030811741723</v>
      </c>
      <c r="K96" s="108">
        <f>Acquirer!K91</f>
        <v>-5736.385201509519</v>
      </c>
      <c r="M96" s="22"/>
    </row>
    <row r="97" spans="3:13" x14ac:dyDescent="0.2">
      <c r="C97" s="14" t="s">
        <v>540</v>
      </c>
      <c r="D97" s="22" t="s">
        <v>61</v>
      </c>
      <c r="G97" s="108">
        <f>Target!G91</f>
        <v>-2012.0872724999999</v>
      </c>
      <c r="H97" s="108">
        <f>Target!H91</f>
        <v>-2109.04699115625</v>
      </c>
      <c r="I97" s="108">
        <f>Target!I91</f>
        <v>-2203.480584998465</v>
      </c>
      <c r="J97" s="108">
        <f>Target!J91</f>
        <v>-2296.568524917509</v>
      </c>
      <c r="K97" s="108">
        <f>Target!K91</f>
        <v>-2385.8719949173501</v>
      </c>
      <c r="M97" s="22"/>
    </row>
    <row r="98" spans="3:13" x14ac:dyDescent="0.2">
      <c r="C98" s="14" t="s">
        <v>412</v>
      </c>
      <c r="D98" s="22" t="s">
        <v>61</v>
      </c>
      <c r="G98" s="108">
        <f>Synergies!G27</f>
        <v>-53.870583374999988</v>
      </c>
      <c r="H98" s="108">
        <f>Synergies!H27</f>
        <v>-112.81358741939999</v>
      </c>
      <c r="I98" s="108">
        <f>Synergies!I27</f>
        <v>-176.59321418906998</v>
      </c>
      <c r="J98" s="108">
        <f>Synergies!J27</f>
        <v>-217.66335968934479</v>
      </c>
      <c r="K98" s="108">
        <f>Synergies!K27</f>
        <v>-225.85244300506085</v>
      </c>
      <c r="M98" s="22"/>
    </row>
    <row r="99" spans="3:13" x14ac:dyDescent="0.2">
      <c r="C99" s="5" t="s">
        <v>413</v>
      </c>
      <c r="D99" s="22" t="s">
        <v>61</v>
      </c>
      <c r="G99" s="59">
        <f>SUM(G96:G98)</f>
        <v>-7011.4135398749995</v>
      </c>
      <c r="H99" s="59">
        <f>SUM(H96:H98)</f>
        <v>-7376.3821762756497</v>
      </c>
      <c r="I99" s="59">
        <f>SUM(I96:I98)</f>
        <v>-7740.5718015195262</v>
      </c>
      <c r="J99" s="59">
        <f>SUM(J96:J98)</f>
        <v>-8067.134965781026</v>
      </c>
      <c r="K99" s="59">
        <f>SUM(K96:K98)</f>
        <v>-8348.1096394319302</v>
      </c>
      <c r="M99" s="22"/>
    </row>
    <row r="100" spans="3:13" x14ac:dyDescent="0.2">
      <c r="D100" s="22"/>
      <c r="M100" s="22"/>
    </row>
    <row r="101" spans="3:13" x14ac:dyDescent="0.2">
      <c r="C101" s="5" t="s">
        <v>78</v>
      </c>
      <c r="D101" s="22" t="s">
        <v>61</v>
      </c>
      <c r="G101" s="59">
        <f>G94+G99</f>
        <v>2675.110135124999</v>
      </c>
      <c r="H101" s="59">
        <f>H94+H99</f>
        <v>2845.147677274349</v>
      </c>
      <c r="I101" s="59">
        <f>I94+I99</f>
        <v>3007.9041151944739</v>
      </c>
      <c r="J101" s="59">
        <f>J94+J99</f>
        <v>3152.2389918636163</v>
      </c>
      <c r="K101" s="59">
        <f>K94+K99</f>
        <v>3262.5752739593154</v>
      </c>
      <c r="M101" s="22"/>
    </row>
    <row r="102" spans="3:13" x14ac:dyDescent="0.2">
      <c r="D102" s="22"/>
      <c r="M102" s="22"/>
    </row>
    <row r="103" spans="3:13" x14ac:dyDescent="0.2">
      <c r="C103" s="13" t="s">
        <v>7</v>
      </c>
      <c r="D103" s="22"/>
      <c r="M103" s="22"/>
    </row>
    <row r="104" spans="3:13" x14ac:dyDescent="0.2">
      <c r="C104" s="14" t="s">
        <v>541</v>
      </c>
      <c r="D104" s="22" t="s">
        <v>61</v>
      </c>
      <c r="G104" s="108">
        <f>Acquirer!G95</f>
        <v>-1134.6349900700002</v>
      </c>
      <c r="H104" s="108">
        <f>Acquirer!H95</f>
        <v>-1188.8933138166003</v>
      </c>
      <c r="I104" s="108">
        <f>Acquirer!I95</f>
        <v>-1238.8106575776619</v>
      </c>
      <c r="J104" s="108">
        <f>Acquirer!J95</f>
        <v>-1286.3177991709424</v>
      </c>
      <c r="K104" s="108">
        <f>Acquirer!K95</f>
        <v>-1327.2363803239714</v>
      </c>
      <c r="M104" s="22"/>
    </row>
    <row r="105" spans="3:13" x14ac:dyDescent="0.2">
      <c r="C105" s="14" t="s">
        <v>542</v>
      </c>
      <c r="D105" s="22" t="s">
        <v>61</v>
      </c>
      <c r="G105" s="108">
        <f>Target!G95</f>
        <v>-491.90245311600012</v>
      </c>
      <c r="H105" s="108">
        <f>Target!H95</f>
        <v>-516.12979823676017</v>
      </c>
      <c r="I105" s="108">
        <f>Target!I95</f>
        <v>-539.5055851232629</v>
      </c>
      <c r="J105" s="108">
        <f>Target!J95</f>
        <v>-562.11776507597813</v>
      </c>
      <c r="K105" s="108">
        <f>Target!K95</f>
        <v>-583.00953067709565</v>
      </c>
      <c r="M105" s="22"/>
    </row>
    <row r="106" spans="3:13" x14ac:dyDescent="0.2">
      <c r="C106" s="14" t="s">
        <v>414</v>
      </c>
      <c r="D106" s="22" t="s">
        <v>61</v>
      </c>
      <c r="G106" s="108">
        <f>Synergies!G28</f>
        <v>-13.16994171929116</v>
      </c>
      <c r="H106" s="108">
        <f>Synergies!H28</f>
        <v>-27.607945369305568</v>
      </c>
      <c r="I106" s="108">
        <f>Synergies!I28</f>
        <v>-43.237515228634635</v>
      </c>
      <c r="J106" s="108">
        <f>Synergies!J28</f>
        <v>-53.27619879833459</v>
      </c>
      <c r="K106" s="108">
        <f>Synergies!K28</f>
        <v>-55.18909944840415</v>
      </c>
      <c r="M106" s="22"/>
    </row>
    <row r="107" spans="3:13" x14ac:dyDescent="0.2">
      <c r="C107" s="14" t="s">
        <v>415</v>
      </c>
      <c r="D107" s="22" t="s">
        <v>61</v>
      </c>
      <c r="G107" s="108">
        <f>Synergies!G18</f>
        <v>57.459489772000012</v>
      </c>
      <c r="H107" s="108">
        <f>Synergies!H18</f>
        <v>81.633044716600025</v>
      </c>
      <c r="I107" s="108">
        <f>Synergies!I18</f>
        <v>95.437821923365462</v>
      </c>
      <c r="J107" s="108">
        <f>Synergies!J18</f>
        <v>98.11008093721972</v>
      </c>
      <c r="K107" s="108">
        <f>Synergies!K18</f>
        <v>100.56283296065018</v>
      </c>
      <c r="M107" s="22" t="s">
        <v>416</v>
      </c>
    </row>
    <row r="108" spans="3:13" x14ac:dyDescent="0.2">
      <c r="C108" s="14" t="s">
        <v>80</v>
      </c>
      <c r="D108" s="22" t="s">
        <v>61</v>
      </c>
      <c r="G108" s="108">
        <f>Acquirer!G96+Target!G96</f>
        <v>-124.53001124999997</v>
      </c>
      <c r="H108" s="108">
        <f>Acquirer!H96+Target!H96</f>
        <v>-131.12681247787498</v>
      </c>
      <c r="I108" s="108">
        <f>Acquirer!I96+Target!I96</f>
        <v>-137.274737442402</v>
      </c>
      <c r="J108" s="108">
        <f>Acquirer!J96+Target!J96</f>
        <v>-142.3839582359345</v>
      </c>
      <c r="K108" s="108">
        <f>Acquirer!K96+Target!K96</f>
        <v>-147.38582276948065</v>
      </c>
      <c r="M108" s="22"/>
    </row>
    <row r="109" spans="3:13" x14ac:dyDescent="0.2">
      <c r="C109" s="14" t="s">
        <v>417</v>
      </c>
      <c r="D109" s="22" t="s">
        <v>61</v>
      </c>
      <c r="G109" s="108">
        <f>Acquirer!G97+Target!G97</f>
        <v>-44.538701250000003</v>
      </c>
      <c r="H109" s="108">
        <f>Acquirer!H97+Target!H97</f>
        <v>-44.638236120374998</v>
      </c>
      <c r="I109" s="108">
        <f>Acquirer!I97+Target!I97</f>
        <v>-44.495281234919801</v>
      </c>
      <c r="J109" s="108">
        <f>Acquirer!J97+Target!J97</f>
        <v>-44.08495397452598</v>
      </c>
      <c r="K109" s="108">
        <f>Acquirer!K97+Target!K97</f>
        <v>-43.385626684097588</v>
      </c>
      <c r="M109" s="22"/>
    </row>
    <row r="110" spans="3:13" x14ac:dyDescent="0.2">
      <c r="C110" s="14" t="s">
        <v>418</v>
      </c>
      <c r="D110" s="22" t="s">
        <v>61</v>
      </c>
      <c r="G110" s="9">
        <f>-$K$77</f>
        <v>-2.8062589999999998</v>
      </c>
      <c r="H110" s="9">
        <f t="shared" ref="H110:K110" si="1">-$K$77</f>
        <v>-2.8062589999999998</v>
      </c>
      <c r="I110" s="9">
        <f t="shared" si="1"/>
        <v>-2.8062589999999998</v>
      </c>
      <c r="J110" s="9">
        <f t="shared" si="1"/>
        <v>-2.8062589999999998</v>
      </c>
      <c r="K110" s="9">
        <f t="shared" si="1"/>
        <v>-2.8062589999999998</v>
      </c>
      <c r="M110" s="22" t="s">
        <v>419</v>
      </c>
    </row>
    <row r="111" spans="3:13" x14ac:dyDescent="0.2">
      <c r="C111" s="14" t="s">
        <v>420</v>
      </c>
      <c r="D111" s="22" t="s">
        <v>61</v>
      </c>
      <c r="G111" s="9">
        <f>-$K$87</f>
        <v>-24.7302</v>
      </c>
      <c r="H111" s="9">
        <f t="shared" ref="H111:K111" si="2">-$K$87</f>
        <v>-24.7302</v>
      </c>
      <c r="I111" s="9">
        <f t="shared" si="2"/>
        <v>-24.7302</v>
      </c>
      <c r="J111" s="9">
        <f t="shared" si="2"/>
        <v>-24.7302</v>
      </c>
      <c r="K111" s="9">
        <f t="shared" si="2"/>
        <v>-24.7302</v>
      </c>
      <c r="M111" s="22"/>
    </row>
    <row r="112" spans="3:13" x14ac:dyDescent="0.2">
      <c r="C112" s="14" t="s">
        <v>82</v>
      </c>
      <c r="D112" s="22" t="s">
        <v>61</v>
      </c>
      <c r="G112" s="108">
        <f>Acquirer!G98+Target!G98</f>
        <v>-3</v>
      </c>
      <c r="H112" s="108">
        <f>Acquirer!H98+Target!H98</f>
        <v>0</v>
      </c>
      <c r="I112" s="108">
        <f>Acquirer!I98+Target!I98</f>
        <v>0</v>
      </c>
      <c r="J112" s="108">
        <f>Acquirer!J98+Target!J98</f>
        <v>0</v>
      </c>
      <c r="K112" s="108">
        <f>Acquirer!K98+Target!K98</f>
        <v>0</v>
      </c>
      <c r="M112" s="22"/>
    </row>
    <row r="113" spans="3:13" x14ac:dyDescent="0.2">
      <c r="C113" s="14" t="s">
        <v>421</v>
      </c>
      <c r="D113" s="22" t="s">
        <v>61</v>
      </c>
      <c r="G113" s="108">
        <f>-Synergies!G36</f>
        <v>-63.625214615577001</v>
      </c>
      <c r="H113" s="108">
        <f>-Synergies!H36</f>
        <v>-31.812607307788454</v>
      </c>
      <c r="I113" s="108">
        <f>-Synergies!I36</f>
        <v>0</v>
      </c>
      <c r="J113" s="108">
        <f>-Synergies!J36</f>
        <v>0</v>
      </c>
      <c r="K113" s="108">
        <f>-Synergies!K36</f>
        <v>0</v>
      </c>
      <c r="M113" s="22"/>
    </row>
    <row r="114" spans="3:13" x14ac:dyDescent="0.2">
      <c r="C114" s="14" t="s">
        <v>83</v>
      </c>
      <c r="D114" s="22" t="s">
        <v>61</v>
      </c>
      <c r="G114" s="108">
        <f>Acquirer!G99+Target!G99</f>
        <v>0</v>
      </c>
      <c r="H114" s="108">
        <f>Acquirer!H99+Target!H99</f>
        <v>0</v>
      </c>
      <c r="I114" s="108">
        <f>Acquirer!I99+Target!I99</f>
        <v>0</v>
      </c>
      <c r="J114" s="108">
        <f>Acquirer!J99+Target!J99</f>
        <v>0</v>
      </c>
      <c r="K114" s="108">
        <f>Acquirer!K99+Target!K99</f>
        <v>0</v>
      </c>
      <c r="M114" s="22"/>
    </row>
    <row r="115" spans="3:13" x14ac:dyDescent="0.2">
      <c r="C115" s="5" t="s">
        <v>84</v>
      </c>
      <c r="D115" s="22" t="s">
        <v>61</v>
      </c>
      <c r="G115" s="59">
        <f>SUM(G104:G114)</f>
        <v>-1845.4782812488681</v>
      </c>
      <c r="H115" s="59">
        <f>SUM(H104:H114)</f>
        <v>-1886.1121276121041</v>
      </c>
      <c r="I115" s="59">
        <f>SUM(I104:I114)</f>
        <v>-1935.4224136835157</v>
      </c>
      <c r="J115" s="59">
        <f>SUM(J104:J114)</f>
        <v>-2017.6070533184957</v>
      </c>
      <c r="K115" s="59">
        <f>SUM(K104:K114)</f>
        <v>-2083.1800859423993</v>
      </c>
      <c r="M115" s="22"/>
    </row>
    <row r="116" spans="3:13" x14ac:dyDescent="0.2">
      <c r="D116" s="22"/>
      <c r="M116" s="22"/>
    </row>
    <row r="117" spans="3:13" x14ac:dyDescent="0.2">
      <c r="C117" s="5" t="s">
        <v>85</v>
      </c>
      <c r="D117" s="22" t="s">
        <v>61</v>
      </c>
      <c r="G117" s="59">
        <f>G101+G115</f>
        <v>829.63185387613089</v>
      </c>
      <c r="H117" s="59">
        <f>H101+H115</f>
        <v>959.03554966224488</v>
      </c>
      <c r="I117" s="59">
        <f>I101+I115</f>
        <v>1072.4817015109581</v>
      </c>
      <c r="J117" s="59">
        <f>J101+J115</f>
        <v>1134.6319385451206</v>
      </c>
      <c r="K117" s="59">
        <f>K101+K115</f>
        <v>1179.3951880169161</v>
      </c>
      <c r="M117" s="22"/>
    </row>
    <row r="118" spans="3:13" x14ac:dyDescent="0.2">
      <c r="C118" s="14" t="s">
        <v>422</v>
      </c>
      <c r="D118" s="22" t="s">
        <v>61</v>
      </c>
      <c r="G118" s="108">
        <f>Acquirer!G103+Target!G103</f>
        <v>-120.40362500000001</v>
      </c>
      <c r="H118" s="108">
        <f>Acquirer!H103+Target!H103</f>
        <v>-109.584875</v>
      </c>
      <c r="I118" s="108">
        <f>Acquirer!I103+Target!I103</f>
        <v>-97.855124999999987</v>
      </c>
      <c r="J118" s="108">
        <f>Acquirer!J103+Target!J103</f>
        <v>-85.214375000000004</v>
      </c>
      <c r="K118" s="108">
        <f>Acquirer!K103+Target!K103</f>
        <v>-71.662625000000006</v>
      </c>
      <c r="M118" s="22"/>
    </row>
    <row r="119" spans="3:13" x14ac:dyDescent="0.2">
      <c r="C119" s="14" t="s">
        <v>423</v>
      </c>
      <c r="D119" s="22" t="s">
        <v>61</v>
      </c>
      <c r="G119" s="9">
        <f>-G172*$E$39</f>
        <v>0</v>
      </c>
      <c r="H119" s="9">
        <f t="shared" ref="H119:K119" si="3">-H172*$E$39</f>
        <v>0</v>
      </c>
      <c r="I119" s="9">
        <f t="shared" si="3"/>
        <v>0</v>
      </c>
      <c r="J119" s="9">
        <f t="shared" si="3"/>
        <v>0</v>
      </c>
      <c r="K119" s="9">
        <f t="shared" si="3"/>
        <v>0</v>
      </c>
      <c r="M119" s="22" t="s">
        <v>424</v>
      </c>
    </row>
    <row r="120" spans="3:13" x14ac:dyDescent="0.2">
      <c r="C120" s="14" t="s">
        <v>425</v>
      </c>
      <c r="D120" s="22" t="s">
        <v>61</v>
      </c>
      <c r="G120" s="9">
        <f>-$E$45*($E$50+$E$21)/$E$41</f>
        <v>-2.0268000000000002</v>
      </c>
      <c r="H120" s="9">
        <f t="shared" ref="H120:K120" si="4">-$E$45*($E$50+$E$21)/$E$41</f>
        <v>-2.0268000000000002</v>
      </c>
      <c r="I120" s="9">
        <f t="shared" si="4"/>
        <v>-2.0268000000000002</v>
      </c>
      <c r="J120" s="9">
        <f t="shared" si="4"/>
        <v>-2.0268000000000002</v>
      </c>
      <c r="K120" s="9">
        <f t="shared" si="4"/>
        <v>-2.0268000000000002</v>
      </c>
      <c r="M120" s="22"/>
    </row>
    <row r="121" spans="3:13" x14ac:dyDescent="0.2">
      <c r="C121" s="14" t="s">
        <v>426</v>
      </c>
      <c r="D121" s="22" t="s">
        <v>61</v>
      </c>
      <c r="G121" s="9">
        <f>-$E$49*$E$42</f>
        <v>0</v>
      </c>
      <c r="H121" s="9">
        <f t="shared" ref="H121:K121" si="5">-$E$49*$E$42</f>
        <v>0</v>
      </c>
      <c r="I121" s="9">
        <f t="shared" si="5"/>
        <v>0</v>
      </c>
      <c r="J121" s="9">
        <f t="shared" si="5"/>
        <v>0</v>
      </c>
      <c r="K121" s="9">
        <f t="shared" si="5"/>
        <v>0</v>
      </c>
      <c r="M121" s="22"/>
    </row>
    <row r="122" spans="3:13" x14ac:dyDescent="0.2">
      <c r="C122" s="14" t="s">
        <v>87</v>
      </c>
      <c r="D122" s="22" t="s">
        <v>61</v>
      </c>
      <c r="G122" s="9">
        <f>G169*Acquirer!G77</f>
        <v>18.665944106278356</v>
      </c>
      <c r="H122" s="9">
        <f>H169*Acquirer!H77</f>
        <v>29.222224259088069</v>
      </c>
      <c r="I122" s="9">
        <f>I169*Acquirer!I77</f>
        <v>42.593245815463014</v>
      </c>
      <c r="J122" s="9">
        <f>J169*Acquirer!J77</f>
        <v>58.750094359173552</v>
      </c>
      <c r="K122" s="9">
        <f>K169*Acquirer!K77</f>
        <v>76.577642303739552</v>
      </c>
      <c r="M122" s="22" t="s">
        <v>427</v>
      </c>
    </row>
    <row r="123" spans="3:13" x14ac:dyDescent="0.2">
      <c r="C123" s="14" t="s">
        <v>88</v>
      </c>
      <c r="D123" s="22" t="s">
        <v>61</v>
      </c>
      <c r="G123" s="108">
        <f>Acquirer!G105+Target!G105</f>
        <v>3</v>
      </c>
      <c r="H123" s="108">
        <f>Acquirer!H105+Target!H105</f>
        <v>3</v>
      </c>
      <c r="I123" s="108">
        <f>Acquirer!I105+Target!I105</f>
        <v>3</v>
      </c>
      <c r="J123" s="108">
        <f>Acquirer!J105+Target!J105</f>
        <v>3</v>
      </c>
      <c r="K123" s="108">
        <f>Acquirer!K105+Target!K105</f>
        <v>3</v>
      </c>
      <c r="M123" s="22"/>
    </row>
    <row r="124" spans="3:13" x14ac:dyDescent="0.2">
      <c r="C124" s="5" t="s">
        <v>34</v>
      </c>
      <c r="D124" s="22" t="s">
        <v>61</v>
      </c>
      <c r="G124" s="59">
        <f>SUM(G117:G123)</f>
        <v>728.86737298240928</v>
      </c>
      <c r="H124" s="59">
        <f>SUM(H117:H123)</f>
        <v>879.64609892133296</v>
      </c>
      <c r="I124" s="59">
        <f>SUM(I117:I123)</f>
        <v>1018.1930223264211</v>
      </c>
      <c r="J124" s="59">
        <f>SUM(J117:J123)</f>
        <v>1109.1408579042941</v>
      </c>
      <c r="K124" s="59">
        <f>SUM(K117:K123)</f>
        <v>1185.2834053206557</v>
      </c>
      <c r="M124" s="22"/>
    </row>
    <row r="125" spans="3:13" x14ac:dyDescent="0.2">
      <c r="C125" s="8" t="s">
        <v>89</v>
      </c>
      <c r="D125" s="22" t="s">
        <v>61</v>
      </c>
      <c r="G125" s="9">
        <f>-G124*Acquirer!$E$10</f>
        <v>-174.92816951577822</v>
      </c>
      <c r="H125" s="9">
        <f>-H124*Acquirer!$E$10</f>
        <v>-211.11506374111991</v>
      </c>
      <c r="I125" s="9">
        <f>-I124*Acquirer!$E$10</f>
        <v>-244.36632535834104</v>
      </c>
      <c r="J125" s="9">
        <f>-J124*Acquirer!$E$10</f>
        <v>-266.19380589703059</v>
      </c>
      <c r="K125" s="9">
        <f>-K124*Acquirer!$E$10</f>
        <v>-284.46801727695737</v>
      </c>
      <c r="M125" s="22"/>
    </row>
    <row r="126" spans="3:13" ht="17" thickBot="1" x14ac:dyDescent="0.25">
      <c r="C126" s="5" t="s">
        <v>428</v>
      </c>
      <c r="D126" s="22" t="s">
        <v>61</v>
      </c>
      <c r="G126" s="11">
        <f>G124+G125</f>
        <v>553.93920346663106</v>
      </c>
      <c r="H126" s="11">
        <f>H124+H125</f>
        <v>668.53103518021305</v>
      </c>
      <c r="I126" s="11">
        <f>I124+I125</f>
        <v>773.82669696808011</v>
      </c>
      <c r="J126" s="11">
        <f>J124+J125</f>
        <v>842.94705200726344</v>
      </c>
      <c r="K126" s="11">
        <f>K124+K125</f>
        <v>900.81538804369825</v>
      </c>
      <c r="M126" s="22"/>
    </row>
    <row r="127" spans="3:13" ht="17" thickTop="1" x14ac:dyDescent="0.2">
      <c r="D127" s="22"/>
      <c r="M127" s="22"/>
    </row>
    <row r="128" spans="3:13" x14ac:dyDescent="0.2">
      <c r="C128" s="14" t="s">
        <v>429</v>
      </c>
      <c r="D128" s="22" t="s">
        <v>49</v>
      </c>
      <c r="G128" s="107">
        <f>Acquirer!$E$15</f>
        <v>118.70579710144928</v>
      </c>
      <c r="H128" s="107">
        <f>Acquirer!$E$15</f>
        <v>118.70579710144928</v>
      </c>
      <c r="I128" s="107">
        <f>Acquirer!$E$15</f>
        <v>118.70579710144928</v>
      </c>
      <c r="J128" s="107">
        <f>Acquirer!$E$15</f>
        <v>118.70579710144928</v>
      </c>
      <c r="K128" s="107">
        <f>Acquirer!$E$15</f>
        <v>118.70579710144928</v>
      </c>
      <c r="M128" s="22"/>
    </row>
    <row r="129" spans="2:13" x14ac:dyDescent="0.2">
      <c r="C129" s="14" t="s">
        <v>430</v>
      </c>
      <c r="D129" s="22" t="s">
        <v>49</v>
      </c>
      <c r="G129" s="124">
        <f>$E$53</f>
        <v>78.198260869565217</v>
      </c>
      <c r="H129" s="124">
        <f>$E$53</f>
        <v>78.198260869565217</v>
      </c>
      <c r="I129" s="124">
        <f>$E$53</f>
        <v>78.198260869565217</v>
      </c>
      <c r="J129" s="124">
        <f>$E$53</f>
        <v>78.198260869565217</v>
      </c>
      <c r="K129" s="124">
        <f>$E$53</f>
        <v>78.198260869565217</v>
      </c>
      <c r="M129" s="22"/>
    </row>
    <row r="130" spans="2:13" x14ac:dyDescent="0.2">
      <c r="C130" s="5" t="s">
        <v>431</v>
      </c>
      <c r="D130" s="22" t="s">
        <v>49</v>
      </c>
      <c r="G130" s="131">
        <f>SUM(G128:G129)</f>
        <v>196.90405797101448</v>
      </c>
      <c r="H130" s="131">
        <f>SUM(H128:H129)</f>
        <v>196.90405797101448</v>
      </c>
      <c r="I130" s="131">
        <f>SUM(I128:I129)</f>
        <v>196.90405797101448</v>
      </c>
      <c r="J130" s="131">
        <f>SUM(J128:J129)</f>
        <v>196.90405797101448</v>
      </c>
      <c r="K130" s="131">
        <f>SUM(K128:K129)</f>
        <v>196.90405797101448</v>
      </c>
      <c r="M130" s="22"/>
    </row>
    <row r="131" spans="2:13" x14ac:dyDescent="0.2">
      <c r="D131" s="22"/>
      <c r="M131" s="22"/>
    </row>
    <row r="132" spans="2:13" x14ac:dyDescent="0.2">
      <c r="C132" s="8" t="s">
        <v>432</v>
      </c>
      <c r="D132" s="22" t="s">
        <v>312</v>
      </c>
      <c r="G132" s="106">
        <f>Acquirer!G111</f>
        <v>3.1548330413127781</v>
      </c>
      <c r="H132" s="106">
        <f>Acquirer!H111</f>
        <v>3.4850265501795099</v>
      </c>
      <c r="I132" s="106">
        <f>Acquirer!I111</f>
        <v>3.7899507516314488</v>
      </c>
      <c r="J132" s="106">
        <f>Acquirer!J111</f>
        <v>4.0982215719366364</v>
      </c>
      <c r="K132" s="106">
        <f>Acquirer!K111</f>
        <v>4.3741191427396293</v>
      </c>
      <c r="M132" s="22"/>
    </row>
    <row r="133" spans="2:13" x14ac:dyDescent="0.2">
      <c r="C133" s="5" t="s">
        <v>433</v>
      </c>
      <c r="D133" s="22" t="s">
        <v>312</v>
      </c>
      <c r="G133" s="123">
        <f>G126/G130</f>
        <v>2.813244222463787</v>
      </c>
      <c r="H133" s="123">
        <f>H126/H130</f>
        <v>3.3952120746979477</v>
      </c>
      <c r="I133" s="123">
        <f>I126/I130</f>
        <v>3.9299682542956647</v>
      </c>
      <c r="J133" s="123">
        <f>J126/J130</f>
        <v>4.281003960473738</v>
      </c>
      <c r="K133" s="123">
        <f>K126/K130</f>
        <v>4.5748949885852728</v>
      </c>
      <c r="M133" s="22"/>
    </row>
    <row r="134" spans="2:13" x14ac:dyDescent="0.2">
      <c r="C134" s="8" t="s">
        <v>434</v>
      </c>
      <c r="D134" s="22" t="s">
        <v>312</v>
      </c>
      <c r="G134" s="132">
        <f>G133-G132</f>
        <v>-0.34158881884899106</v>
      </c>
      <c r="H134" s="132">
        <f>H133-H132</f>
        <v>-8.9814475481562184E-2</v>
      </c>
      <c r="I134" s="132">
        <f>I133-I132</f>
        <v>0.14001750266421586</v>
      </c>
      <c r="J134" s="132">
        <f>J133-J132</f>
        <v>0.1827823885371016</v>
      </c>
      <c r="K134" s="132">
        <f>K133-K132</f>
        <v>0.20077584584564345</v>
      </c>
      <c r="M134" s="22"/>
    </row>
    <row r="135" spans="2:13" ht="17" thickBot="1" x14ac:dyDescent="0.25">
      <c r="C135" s="5" t="s">
        <v>434</v>
      </c>
      <c r="D135" s="22" t="s">
        <v>4</v>
      </c>
      <c r="G135" s="133">
        <f>G133/G132-1</f>
        <v>-0.10827476902132682</v>
      </c>
      <c r="H135" s="133">
        <f>H133/H132-1</f>
        <v>-2.5771532637803296E-2</v>
      </c>
      <c r="I135" s="133">
        <f>I133/I132-1</f>
        <v>3.6944412167873919E-2</v>
      </c>
      <c r="J135" s="133">
        <f>J133/J132-1</f>
        <v>4.4600416382740038E-2</v>
      </c>
      <c r="K135" s="133">
        <f>K133/K132-1</f>
        <v>4.590086353246714E-2</v>
      </c>
      <c r="M135" s="22" t="s">
        <v>543</v>
      </c>
    </row>
    <row r="136" spans="2:13" ht="17" thickTop="1" x14ac:dyDescent="0.2">
      <c r="D136" s="22"/>
      <c r="M136" s="22"/>
    </row>
    <row r="137" spans="2:13" x14ac:dyDescent="0.2">
      <c r="C137" s="8" t="s">
        <v>435</v>
      </c>
      <c r="D137" s="22" t="s">
        <v>312</v>
      </c>
      <c r="G137" s="132">
        <f>(G126+(-G113-G110-G111)*(1-Acquirer!$E$10))/G130</f>
        <v>3.1651052895324883</v>
      </c>
      <c r="H137" s="132">
        <f>(H126+(-H113-H110-H111)*(1-Acquirer!$E$10))/H130</f>
        <v>3.6242845014356382</v>
      </c>
      <c r="I137" s="132">
        <f>(I126+(-I113-I110-I111)*(1-Acquirer!$E$10))/I130</f>
        <v>4.0362520407023457</v>
      </c>
      <c r="J137" s="132">
        <f>(J126+(-J113-J110-J111)*(1-Acquirer!$E$10))/J130</f>
        <v>4.3872877468804186</v>
      </c>
      <c r="K137" s="132">
        <f>(K126+(-K113-K110-K111)*(1-Acquirer!$E$10))/K130</f>
        <v>4.6811787749919542</v>
      </c>
      <c r="M137" s="22"/>
    </row>
    <row r="138" spans="2:13" x14ac:dyDescent="0.2">
      <c r="C138" s="5" t="s">
        <v>534</v>
      </c>
      <c r="D138" s="22" t="s">
        <v>4</v>
      </c>
      <c r="G138" s="109">
        <f>G137/G132-1</f>
        <v>3.256035449481498E-3</v>
      </c>
      <c r="H138" s="109">
        <f>H137/H132-1</f>
        <v>3.995893553492591E-2</v>
      </c>
      <c r="I138" s="109">
        <f>I137/I132-1</f>
        <v>6.4987991985086424E-2</v>
      </c>
      <c r="J138" s="109">
        <f>J137/J132-1</f>
        <v>7.053454037800666E-2</v>
      </c>
      <c r="K138" s="109">
        <f>K137/K132-1</f>
        <v>7.0199192621901219E-2</v>
      </c>
      <c r="M138" s="22" t="s">
        <v>436</v>
      </c>
    </row>
    <row r="139" spans="2:13" x14ac:dyDescent="0.2">
      <c r="M139" s="22"/>
    </row>
    <row r="140" spans="2:13" x14ac:dyDescent="0.2">
      <c r="M140" s="22"/>
    </row>
    <row r="141" spans="2:13" x14ac:dyDescent="0.2">
      <c r="B141" s="19" t="s">
        <v>437</v>
      </c>
      <c r="C141" s="19"/>
      <c r="D141" s="20"/>
      <c r="E141" s="19"/>
      <c r="F141" s="19"/>
      <c r="G141" s="19"/>
      <c r="H141" s="19"/>
      <c r="I141" s="19"/>
      <c r="J141" s="19"/>
      <c r="K141" s="19"/>
      <c r="L141" s="19"/>
      <c r="M141" s="22"/>
    </row>
    <row r="142" spans="2:13" x14ac:dyDescent="0.2">
      <c r="D142" s="22" t="s">
        <v>134</v>
      </c>
      <c r="E142" s="143">
        <f>$E$89</f>
        <v>45657</v>
      </c>
      <c r="F142" s="143">
        <f>$F$89</f>
        <v>46022</v>
      </c>
      <c r="G142" s="143">
        <f>$G$89</f>
        <v>46387</v>
      </c>
      <c r="H142" s="143">
        <f>$H$89</f>
        <v>46752</v>
      </c>
      <c r="I142" s="143">
        <f>$I$89</f>
        <v>47118</v>
      </c>
      <c r="J142" s="143">
        <f>$J$89</f>
        <v>47483</v>
      </c>
      <c r="K142" s="143">
        <f>$K$89</f>
        <v>47848</v>
      </c>
      <c r="M142" s="22"/>
    </row>
    <row r="143" spans="2:13" x14ac:dyDescent="0.2">
      <c r="C143" s="58" t="s">
        <v>428</v>
      </c>
      <c r="D143" s="22" t="s">
        <v>61</v>
      </c>
      <c r="G143" s="7">
        <f>G126</f>
        <v>553.93920346663106</v>
      </c>
      <c r="H143" s="7">
        <f>H126</f>
        <v>668.53103518021305</v>
      </c>
      <c r="I143" s="7">
        <f>I126</f>
        <v>773.82669696808011</v>
      </c>
      <c r="J143" s="7">
        <f>J126</f>
        <v>842.94705200726344</v>
      </c>
      <c r="K143" s="7">
        <f>K126</f>
        <v>900.81538804369825</v>
      </c>
      <c r="M143" s="22"/>
    </row>
    <row r="144" spans="2:13" x14ac:dyDescent="0.2">
      <c r="C144" s="14" t="s">
        <v>161</v>
      </c>
      <c r="D144" s="22" t="s">
        <v>61</v>
      </c>
      <c r="G144" s="9">
        <f t="shared" ref="G144:G147" si="6">-G108</f>
        <v>124.53001124999997</v>
      </c>
      <c r="H144" s="9">
        <f t="shared" ref="H144:K144" si="7">-H108</f>
        <v>131.12681247787498</v>
      </c>
      <c r="I144" s="9">
        <f t="shared" si="7"/>
        <v>137.274737442402</v>
      </c>
      <c r="J144" s="9">
        <f t="shared" si="7"/>
        <v>142.3839582359345</v>
      </c>
      <c r="K144" s="9">
        <f t="shared" si="7"/>
        <v>147.38582276948065</v>
      </c>
      <c r="M144" s="22"/>
    </row>
    <row r="145" spans="3:13" x14ac:dyDescent="0.2">
      <c r="C145" s="14" t="s">
        <v>438</v>
      </c>
      <c r="D145" s="22" t="s">
        <v>61</v>
      </c>
      <c r="G145" s="9">
        <f t="shared" si="6"/>
        <v>44.538701250000003</v>
      </c>
      <c r="H145" s="9">
        <f t="shared" ref="H145:K145" si="8">-H109</f>
        <v>44.638236120374998</v>
      </c>
      <c r="I145" s="9">
        <f t="shared" si="8"/>
        <v>44.495281234919801</v>
      </c>
      <c r="J145" s="9">
        <f t="shared" si="8"/>
        <v>44.08495397452598</v>
      </c>
      <c r="K145" s="9">
        <f t="shared" si="8"/>
        <v>43.385626684097588</v>
      </c>
      <c r="M145" s="22"/>
    </row>
    <row r="146" spans="3:13" x14ac:dyDescent="0.2">
      <c r="C146" s="14" t="s">
        <v>439</v>
      </c>
      <c r="D146" s="22" t="s">
        <v>61</v>
      </c>
      <c r="G146" s="9">
        <f t="shared" si="6"/>
        <v>2.8062589999999998</v>
      </c>
      <c r="H146" s="9">
        <f t="shared" ref="H146:K146" si="9">-H110</f>
        <v>2.8062589999999998</v>
      </c>
      <c r="I146" s="9">
        <f t="shared" si="9"/>
        <v>2.8062589999999998</v>
      </c>
      <c r="J146" s="9">
        <f t="shared" si="9"/>
        <v>2.8062589999999998</v>
      </c>
      <c r="K146" s="9">
        <f t="shared" si="9"/>
        <v>2.8062589999999998</v>
      </c>
      <c r="M146" s="22"/>
    </row>
    <row r="147" spans="3:13" x14ac:dyDescent="0.2">
      <c r="C147" s="14" t="s">
        <v>440</v>
      </c>
      <c r="D147" s="22" t="s">
        <v>61</v>
      </c>
      <c r="G147" s="9">
        <f t="shared" si="6"/>
        <v>24.7302</v>
      </c>
      <c r="H147" s="9">
        <f t="shared" ref="H147:K147" si="10">-H111</f>
        <v>24.7302</v>
      </c>
      <c r="I147" s="9">
        <f t="shared" si="10"/>
        <v>24.7302</v>
      </c>
      <c r="J147" s="9">
        <f t="shared" si="10"/>
        <v>24.7302</v>
      </c>
      <c r="K147" s="9">
        <f t="shared" si="10"/>
        <v>24.7302</v>
      </c>
      <c r="M147" s="22"/>
    </row>
    <row r="148" spans="3:13" x14ac:dyDescent="0.2">
      <c r="C148" s="14" t="s">
        <v>441</v>
      </c>
      <c r="D148" s="22" t="s">
        <v>61</v>
      </c>
      <c r="G148" s="9">
        <f>-G120</f>
        <v>2.0268000000000002</v>
      </c>
      <c r="H148" s="9">
        <f t="shared" ref="H148:K148" si="11">-H120</f>
        <v>2.0268000000000002</v>
      </c>
      <c r="I148" s="9">
        <f t="shared" si="11"/>
        <v>2.0268000000000002</v>
      </c>
      <c r="J148" s="9">
        <f t="shared" si="11"/>
        <v>2.0268000000000002</v>
      </c>
      <c r="K148" s="9">
        <f t="shared" si="11"/>
        <v>2.0268000000000002</v>
      </c>
      <c r="M148" s="22"/>
    </row>
    <row r="149" spans="3:13" x14ac:dyDescent="0.2">
      <c r="C149" s="14" t="s">
        <v>165</v>
      </c>
      <c r="D149" s="22" t="s">
        <v>61</v>
      </c>
      <c r="G149" s="9">
        <f>Acquirer!G156+Target!G156</f>
        <v>28.049922000000002</v>
      </c>
      <c r="H149" s="9">
        <f>Acquirer!H156+Target!H156</f>
        <v>29.370981671999999</v>
      </c>
      <c r="I149" s="9">
        <f>Acquirer!I156+Target!I156</f>
        <v>30.647702943789206</v>
      </c>
      <c r="J149" s="9">
        <f>Acquirer!J156+Target!J156</f>
        <v>31.855918514029057</v>
      </c>
      <c r="K149" s="9">
        <f>Acquirer!K156+Target!K156</f>
        <v>32.969863411142299</v>
      </c>
      <c r="M149" s="22"/>
    </row>
    <row r="150" spans="3:13" x14ac:dyDescent="0.2">
      <c r="C150" s="14" t="s">
        <v>166</v>
      </c>
      <c r="D150" s="22" t="s">
        <v>61</v>
      </c>
      <c r="G150" s="9">
        <f>Acquirer!G157+Target!G157</f>
        <v>15.709731823220867</v>
      </c>
      <c r="H150" s="9">
        <f>Acquirer!H157+Target!H157</f>
        <v>14.084299599445878</v>
      </c>
      <c r="I150" s="9">
        <f>Acquirer!I157+Target!I157</f>
        <v>11.737758290403805</v>
      </c>
      <c r="J150" s="9">
        <f>Acquirer!J157+Target!J157</f>
        <v>11.175721948705696</v>
      </c>
      <c r="K150" s="9">
        <f>Acquirer!K157+Target!K157</f>
        <v>11.938446086802383</v>
      </c>
      <c r="M150" s="22"/>
    </row>
    <row r="151" spans="3:13" x14ac:dyDescent="0.2">
      <c r="C151" s="14" t="s">
        <v>167</v>
      </c>
      <c r="D151" s="22" t="s">
        <v>61</v>
      </c>
      <c r="G151" s="9">
        <f>Acquirer!G158+Target!G158</f>
        <v>0</v>
      </c>
      <c r="H151" s="9">
        <f>Acquirer!H158+Target!H158</f>
        <v>0</v>
      </c>
      <c r="I151" s="9">
        <f>Acquirer!I158+Target!I158</f>
        <v>0</v>
      </c>
      <c r="J151" s="9">
        <f>Acquirer!J158+Target!J158</f>
        <v>0</v>
      </c>
      <c r="K151" s="9">
        <f>Acquirer!K158+Target!K158</f>
        <v>0</v>
      </c>
      <c r="M151" s="22"/>
    </row>
    <row r="152" spans="3:13" x14ac:dyDescent="0.2">
      <c r="C152" s="14" t="s">
        <v>442</v>
      </c>
      <c r="D152" s="22" t="s">
        <v>61</v>
      </c>
      <c r="G152" s="9">
        <f>Acquirer!G166+Target!G166</f>
        <v>-47.008147673860194</v>
      </c>
      <c r="H152" s="9">
        <f>Acquirer!H166+Target!H166</f>
        <v>-52.960755234910238</v>
      </c>
      <c r="I152" s="9">
        <f>Acquirer!I166+Target!I166</f>
        <v>-53.03421167793536</v>
      </c>
      <c r="J152" s="9">
        <f>Acquirer!J166+Target!J166</f>
        <v>-46.157935995559029</v>
      </c>
      <c r="K152" s="9">
        <f>Acquirer!K166+Target!K166</f>
        <v>-55.994355989796503</v>
      </c>
      <c r="M152" s="22"/>
    </row>
    <row r="153" spans="3:13" ht="17" thickBot="1" x14ac:dyDescent="0.25">
      <c r="C153" s="5" t="s">
        <v>175</v>
      </c>
      <c r="D153" s="22" t="s">
        <v>61</v>
      </c>
      <c r="G153" s="11">
        <f>SUM(G143:G152)</f>
        <v>749.32268111599171</v>
      </c>
      <c r="H153" s="11">
        <f>SUM(H143:H152)</f>
        <v>864.35386881499858</v>
      </c>
      <c r="I153" s="11">
        <f>SUM(I143:I152)</f>
        <v>974.51122420165973</v>
      </c>
      <c r="J153" s="11">
        <f>SUM(J143:J152)</f>
        <v>1055.8529276848997</v>
      </c>
      <c r="K153" s="11">
        <f>SUM(K143:K152)</f>
        <v>1110.0640500054246</v>
      </c>
      <c r="M153" s="22"/>
    </row>
    <row r="154" spans="3:13" ht="17" thickTop="1" x14ac:dyDescent="0.2">
      <c r="D154" s="22"/>
      <c r="M154" s="22"/>
    </row>
    <row r="155" spans="3:13" x14ac:dyDescent="0.2">
      <c r="C155" s="14" t="s">
        <v>176</v>
      </c>
      <c r="D155" s="22" t="s">
        <v>61</v>
      </c>
      <c r="G155" s="9">
        <f>Acquirer!G169+Target!G169</f>
        <v>-149.71467675</v>
      </c>
      <c r="H155" s="9">
        <f>Acquirer!H169+Target!H169</f>
        <v>-155.32468148999999</v>
      </c>
      <c r="I155" s="9">
        <f>Acquirer!I169+Target!I169</f>
        <v>-156.8869800956445</v>
      </c>
      <c r="J155" s="9">
        <f>Acquirer!J169+Target!J169</f>
        <v>-161.49441498301402</v>
      </c>
      <c r="K155" s="9">
        <f>Acquirer!K169+Target!K169</f>
        <v>-163.25500774510419</v>
      </c>
      <c r="M155" s="22"/>
    </row>
    <row r="156" spans="3:13" x14ac:dyDescent="0.2">
      <c r="C156" s="14" t="s">
        <v>177</v>
      </c>
      <c r="D156" s="22" t="s">
        <v>61</v>
      </c>
      <c r="G156" s="9">
        <f>Acquirer!G170+Target!G170</f>
        <v>6</v>
      </c>
      <c r="H156" s="9">
        <f>Acquirer!H170+Target!H170</f>
        <v>6</v>
      </c>
      <c r="I156" s="9">
        <f>Acquirer!I170+Target!I170</f>
        <v>6</v>
      </c>
      <c r="J156" s="9">
        <f>Acquirer!J170+Target!J170</f>
        <v>6</v>
      </c>
      <c r="K156" s="9">
        <f>Acquirer!K170+Target!K170</f>
        <v>6</v>
      </c>
      <c r="M156" s="22"/>
    </row>
    <row r="157" spans="3:13" x14ac:dyDescent="0.2">
      <c r="C157" s="14" t="s">
        <v>178</v>
      </c>
      <c r="D157" s="22" t="s">
        <v>61</v>
      </c>
      <c r="G157" s="9">
        <f>Acquirer!G171+Target!G171</f>
        <v>0</v>
      </c>
      <c r="H157" s="9">
        <f>Acquirer!H171+Target!H171</f>
        <v>0</v>
      </c>
      <c r="I157" s="9">
        <f>Acquirer!I171+Target!I171</f>
        <v>0</v>
      </c>
      <c r="J157" s="9">
        <f>Acquirer!J171+Target!J171</f>
        <v>0</v>
      </c>
      <c r="K157" s="9">
        <f>Acquirer!K171+Target!K171</f>
        <v>0</v>
      </c>
      <c r="M157" s="22"/>
    </row>
    <row r="158" spans="3:13" ht="17" thickBot="1" x14ac:dyDescent="0.25">
      <c r="C158" s="5" t="s">
        <v>179</v>
      </c>
      <c r="D158" s="22" t="s">
        <v>61</v>
      </c>
      <c r="G158" s="11">
        <f>SUM(G155:G157)</f>
        <v>-143.71467675</v>
      </c>
      <c r="H158" s="11">
        <f t="shared" ref="H158:K158" si="12">SUM(H155:H157)</f>
        <v>-149.32468148999999</v>
      </c>
      <c r="I158" s="11">
        <f t="shared" si="12"/>
        <v>-150.8869800956445</v>
      </c>
      <c r="J158" s="11">
        <f t="shared" si="12"/>
        <v>-155.49441498301402</v>
      </c>
      <c r="K158" s="11">
        <f t="shared" si="12"/>
        <v>-157.25500774510419</v>
      </c>
      <c r="M158" s="22"/>
    </row>
    <row r="159" spans="3:13" ht="17" thickTop="1" x14ac:dyDescent="0.2">
      <c r="D159" s="22"/>
      <c r="M159" s="22"/>
    </row>
    <row r="160" spans="3:13" x14ac:dyDescent="0.2">
      <c r="C160" s="14" t="s">
        <v>180</v>
      </c>
      <c r="D160" s="22" t="s">
        <v>61</v>
      </c>
      <c r="G160" s="45">
        <f>Acquirer!G174+Target!G174</f>
        <v>0</v>
      </c>
      <c r="H160" s="45">
        <f>Acquirer!H174+Target!H174</f>
        <v>0</v>
      </c>
      <c r="I160" s="45">
        <f>Acquirer!I174+Target!I174</f>
        <v>0</v>
      </c>
      <c r="J160" s="45">
        <f>Acquirer!J174+Target!J174</f>
        <v>0</v>
      </c>
      <c r="K160" s="45">
        <f>Acquirer!K174+Target!K174</f>
        <v>0</v>
      </c>
      <c r="M160" s="22"/>
    </row>
    <row r="161" spans="3:13" x14ac:dyDescent="0.2">
      <c r="C161" s="14" t="s">
        <v>443</v>
      </c>
      <c r="D161" s="22" t="s">
        <v>61</v>
      </c>
      <c r="G161" s="9">
        <f>Acquirer!G175+Target!G175</f>
        <v>-175</v>
      </c>
      <c r="H161" s="9">
        <f>Acquirer!H175+Target!H175</f>
        <v>-190</v>
      </c>
      <c r="I161" s="9">
        <f>Acquirer!I175+Target!I175</f>
        <v>-205</v>
      </c>
      <c r="J161" s="9">
        <f>Acquirer!J175+Target!J175</f>
        <v>-220</v>
      </c>
      <c r="K161" s="9">
        <f>Acquirer!K175+Target!K175</f>
        <v>-235</v>
      </c>
      <c r="M161" s="22"/>
    </row>
    <row r="162" spans="3:13" x14ac:dyDescent="0.2">
      <c r="C162" s="14" t="s">
        <v>444</v>
      </c>
      <c r="D162" s="22" t="s">
        <v>61</v>
      </c>
      <c r="G162" s="9">
        <f>G173</f>
        <v>0</v>
      </c>
      <c r="H162" s="9">
        <f>H173</f>
        <v>0</v>
      </c>
      <c r="I162" s="9">
        <f>I173</f>
        <v>0</v>
      </c>
      <c r="J162" s="9">
        <f>J173</f>
        <v>0</v>
      </c>
      <c r="K162" s="9">
        <f>K173</f>
        <v>0</v>
      </c>
      <c r="M162" s="22"/>
    </row>
    <row r="163" spans="3:13" x14ac:dyDescent="0.2">
      <c r="C163" s="14" t="s">
        <v>182</v>
      </c>
      <c r="D163" s="22" t="s">
        <v>61</v>
      </c>
      <c r="G163" s="9">
        <f>Acquirer!G176+Target!G176</f>
        <v>0</v>
      </c>
      <c r="H163" s="9">
        <f>Acquirer!H176+Target!H176</f>
        <v>0</v>
      </c>
      <c r="I163" s="9">
        <f>Acquirer!I176+Target!I176</f>
        <v>0</v>
      </c>
      <c r="J163" s="9">
        <f>Acquirer!J176+Target!J176</f>
        <v>0</v>
      </c>
      <c r="K163" s="9">
        <f>Acquirer!K176+Target!K176</f>
        <v>0</v>
      </c>
      <c r="M163" s="22"/>
    </row>
    <row r="164" spans="3:13" x14ac:dyDescent="0.2">
      <c r="C164" s="14" t="s">
        <v>183</v>
      </c>
      <c r="D164" s="22" t="s">
        <v>61</v>
      </c>
      <c r="G164" s="9">
        <f>Acquirer!G177+Target!G177</f>
        <v>-129</v>
      </c>
      <c r="H164" s="9">
        <f>Acquirer!H177+Target!H177</f>
        <v>-143</v>
      </c>
      <c r="I164" s="9">
        <f>Acquirer!I177+Target!I177</f>
        <v>-157</v>
      </c>
      <c r="J164" s="9">
        <f>Acquirer!J177+Target!J177</f>
        <v>-171</v>
      </c>
      <c r="K164" s="9">
        <f>Acquirer!K177+Target!K177</f>
        <v>-185</v>
      </c>
      <c r="M164" s="22" t="s">
        <v>445</v>
      </c>
    </row>
    <row r="165" spans="3:13" x14ac:dyDescent="0.2">
      <c r="C165" s="14" t="s">
        <v>184</v>
      </c>
      <c r="D165" s="22" t="s">
        <v>61</v>
      </c>
      <c r="G165" s="9">
        <f>Acquirer!G178+Target!G178</f>
        <v>0</v>
      </c>
      <c r="H165" s="9">
        <f>Acquirer!H178+Target!H178</f>
        <v>0</v>
      </c>
      <c r="I165" s="9">
        <f>Acquirer!I178+Target!I178</f>
        <v>0</v>
      </c>
      <c r="J165" s="9">
        <f>Acquirer!J178+Target!J178</f>
        <v>0</v>
      </c>
      <c r="K165" s="9">
        <f>Acquirer!K178+Target!K178</f>
        <v>0</v>
      </c>
      <c r="M165" s="22"/>
    </row>
    <row r="166" spans="3:13" ht="17" thickBot="1" x14ac:dyDescent="0.25">
      <c r="C166" s="5" t="s">
        <v>185</v>
      </c>
      <c r="D166" s="22" t="s">
        <v>61</v>
      </c>
      <c r="G166" s="11">
        <f>SUM(G160:G165)</f>
        <v>-304</v>
      </c>
      <c r="H166" s="11">
        <f t="shared" ref="H166:K166" si="13">SUM(H160:H165)</f>
        <v>-333</v>
      </c>
      <c r="I166" s="11">
        <f t="shared" si="13"/>
        <v>-362</v>
      </c>
      <c r="J166" s="11">
        <f t="shared" si="13"/>
        <v>-391</v>
      </c>
      <c r="K166" s="11">
        <f t="shared" si="13"/>
        <v>-420</v>
      </c>
      <c r="M166" s="22"/>
    </row>
    <row r="167" spans="3:13" ht="17" thickTop="1" x14ac:dyDescent="0.2">
      <c r="D167" s="22"/>
      <c r="M167" s="22"/>
    </row>
    <row r="168" spans="3:13" x14ac:dyDescent="0.2">
      <c r="C168" s="5" t="s">
        <v>186</v>
      </c>
      <c r="D168" s="22" t="s">
        <v>61</v>
      </c>
      <c r="G168" s="7">
        <f>G153+G158+G166</f>
        <v>301.60800436599175</v>
      </c>
      <c r="H168" s="7">
        <f>H153+H158+H166</f>
        <v>382.02918732499859</v>
      </c>
      <c r="I168" s="7">
        <f>I153+I158+I166</f>
        <v>461.62424410601523</v>
      </c>
      <c r="J168" s="7">
        <f>J153+J158+J166</f>
        <v>509.35851270188562</v>
      </c>
      <c r="K168" s="7">
        <f>K153+K158+K166</f>
        <v>532.80904226032044</v>
      </c>
      <c r="M168" s="22"/>
    </row>
    <row r="169" spans="3:13" x14ac:dyDescent="0.2">
      <c r="C169" s="8" t="s">
        <v>187</v>
      </c>
      <c r="D169" s="22" t="s">
        <v>61</v>
      </c>
      <c r="G169" s="108">
        <f>Combined_BS!$I$8</f>
        <v>533.31268875081014</v>
      </c>
      <c r="H169" s="9">
        <f>G170</f>
        <v>834.92069311680189</v>
      </c>
      <c r="I169" s="9">
        <f>H170</f>
        <v>1216.9498804418004</v>
      </c>
      <c r="J169" s="9">
        <f>I170</f>
        <v>1678.5741245478157</v>
      </c>
      <c r="K169" s="9">
        <f>J170</f>
        <v>2187.9326372497012</v>
      </c>
      <c r="M169" s="22" t="s">
        <v>544</v>
      </c>
    </row>
    <row r="170" spans="3:13" ht="17" thickBot="1" x14ac:dyDescent="0.25">
      <c r="C170" s="5" t="s">
        <v>188</v>
      </c>
      <c r="D170" s="22" t="s">
        <v>61</v>
      </c>
      <c r="G170" s="11">
        <f>G169+G168</f>
        <v>834.92069311680189</v>
      </c>
      <c r="H170" s="11">
        <f>H169+H168</f>
        <v>1216.9498804418004</v>
      </c>
      <c r="I170" s="11">
        <f>I169+I168</f>
        <v>1678.5741245478157</v>
      </c>
      <c r="J170" s="11">
        <f>J169+J168</f>
        <v>2187.9326372497012</v>
      </c>
      <c r="K170" s="11">
        <f>K169+K168</f>
        <v>2720.7416795100216</v>
      </c>
      <c r="M170" s="22"/>
    </row>
    <row r="171" spans="3:13" ht="17" thickTop="1" x14ac:dyDescent="0.2">
      <c r="D171" s="22"/>
      <c r="M171" s="22"/>
    </row>
    <row r="172" spans="3:13" x14ac:dyDescent="0.2">
      <c r="C172" s="14" t="s">
        <v>545</v>
      </c>
      <c r="D172" s="22" t="s">
        <v>61</v>
      </c>
      <c r="G172" s="9">
        <f>$E$50</f>
        <v>0</v>
      </c>
      <c r="H172" s="9">
        <f>G174</f>
        <v>0</v>
      </c>
      <c r="I172" s="9">
        <f>H174</f>
        <v>0</v>
      </c>
      <c r="J172" s="9">
        <f>I174</f>
        <v>0</v>
      </c>
      <c r="K172" s="9">
        <f>J174</f>
        <v>0</v>
      </c>
      <c r="M172" s="22"/>
    </row>
    <row r="173" spans="3:13" x14ac:dyDescent="0.2">
      <c r="C173" s="14" t="s">
        <v>446</v>
      </c>
      <c r="D173" s="22" t="s">
        <v>61</v>
      </c>
      <c r="G173" s="9">
        <f>-$E$50*$E$40</f>
        <v>0</v>
      </c>
      <c r="H173" s="9">
        <f>-$E$50*$E$40</f>
        <v>0</v>
      </c>
      <c r="I173" s="9">
        <f>-$E$50*$E$40</f>
        <v>0</v>
      </c>
      <c r="J173" s="9">
        <f>-$E$50*$E$40</f>
        <v>0</v>
      </c>
      <c r="K173" s="9">
        <f>-$E$50*$E$40</f>
        <v>0</v>
      </c>
      <c r="M173" s="22" t="s">
        <v>546</v>
      </c>
    </row>
    <row r="174" spans="3:13" x14ac:dyDescent="0.2">
      <c r="C174" s="5" t="s">
        <v>547</v>
      </c>
      <c r="D174" s="22" t="s">
        <v>61</v>
      </c>
      <c r="G174" s="59">
        <f>G172+G173</f>
        <v>0</v>
      </c>
      <c r="H174" s="59">
        <f>H172+H173</f>
        <v>0</v>
      </c>
      <c r="I174" s="59">
        <f>I172+I173</f>
        <v>0</v>
      </c>
      <c r="J174" s="59">
        <f>J172+J173</f>
        <v>0</v>
      </c>
      <c r="K174" s="59">
        <f>K172+K173</f>
        <v>0</v>
      </c>
      <c r="M174" s="22"/>
    </row>
    <row r="175" spans="3:13" x14ac:dyDescent="0.2">
      <c r="C175" s="5" t="s">
        <v>447</v>
      </c>
      <c r="D175" s="22" t="s">
        <v>61</v>
      </c>
      <c r="G175" s="7">
        <f>Acquirer!G135+Target!G135+G174</f>
        <v>1871.4</v>
      </c>
      <c r="H175" s="7">
        <f>Acquirer!H135+Target!H135+H174</f>
        <v>1686.5</v>
      </c>
      <c r="I175" s="7">
        <f>Acquirer!I135+Target!I135+I174</f>
        <v>1486.2</v>
      </c>
      <c r="J175" s="7">
        <f>Acquirer!J135+Target!J135+J174</f>
        <v>1270.5</v>
      </c>
      <c r="K175" s="7">
        <f>Acquirer!K135+Target!K135+K174</f>
        <v>1039.4000000000001</v>
      </c>
      <c r="M175" s="22"/>
    </row>
    <row r="176" spans="3:13" x14ac:dyDescent="0.2">
      <c r="M176" s="22"/>
    </row>
    <row r="177" spans="2:13" x14ac:dyDescent="0.2">
      <c r="B177" s="19" t="s">
        <v>548</v>
      </c>
      <c r="C177" s="19"/>
      <c r="D177" s="20"/>
      <c r="E177" s="19"/>
      <c r="F177" s="19"/>
      <c r="G177" s="19"/>
      <c r="H177" s="19"/>
      <c r="I177" s="19"/>
      <c r="J177" s="19"/>
      <c r="K177" s="19"/>
      <c r="L177" s="19"/>
      <c r="M177" s="22"/>
    </row>
    <row r="178" spans="2:13" x14ac:dyDescent="0.2">
      <c r="D178" s="22" t="s">
        <v>134</v>
      </c>
      <c r="E178" s="143">
        <f>E89</f>
        <v>45657</v>
      </c>
      <c r="F178" s="143">
        <f t="shared" ref="F178:K178" si="14">F89</f>
        <v>46022</v>
      </c>
      <c r="G178" s="143">
        <f t="shared" si="14"/>
        <v>46387</v>
      </c>
      <c r="H178" s="143">
        <f t="shared" si="14"/>
        <v>46752</v>
      </c>
      <c r="I178" s="143">
        <f t="shared" si="14"/>
        <v>47118</v>
      </c>
      <c r="J178" s="143">
        <f t="shared" si="14"/>
        <v>47483</v>
      </c>
      <c r="K178" s="143">
        <f t="shared" si="14"/>
        <v>47848</v>
      </c>
      <c r="M178" s="22"/>
    </row>
    <row r="179" spans="2:13" x14ac:dyDescent="0.2">
      <c r="C179" s="5" t="s">
        <v>17</v>
      </c>
      <c r="D179" s="22" t="s">
        <v>61</v>
      </c>
      <c r="G179" s="7">
        <f>G117-G108-G109-G110-G111-G114</f>
        <v>1026.2370253761308</v>
      </c>
      <c r="H179" s="7">
        <f>H117-H108-H109-H110-H111-H114</f>
        <v>1162.3370572604949</v>
      </c>
      <c r="I179" s="7">
        <f>I117-I108-I109-I110-I111-I114</f>
        <v>1281.7881791882799</v>
      </c>
      <c r="J179" s="7">
        <f>J117-J108-J109-J110-J111-J114</f>
        <v>1348.6373097555809</v>
      </c>
      <c r="K179" s="7">
        <f>K117-K108-K109-K110-K111-K114</f>
        <v>1397.7030964704943</v>
      </c>
      <c r="M179" s="22"/>
    </row>
    <row r="180" spans="2:13" x14ac:dyDescent="0.2">
      <c r="C180" s="8" t="s">
        <v>190</v>
      </c>
      <c r="D180" s="22" t="s">
        <v>4</v>
      </c>
      <c r="G180" s="53" t="s">
        <v>55</v>
      </c>
      <c r="H180" s="61">
        <f>H94/G94-1</f>
        <v>5.523201062635108E-2</v>
      </c>
      <c r="I180" s="61">
        <f>I94/H94-1</f>
        <v>5.1552563140143892E-2</v>
      </c>
      <c r="J180" s="61">
        <f>J94/I94-1</f>
        <v>4.381068019126233E-2</v>
      </c>
      <c r="K180" s="61">
        <f>K94/J94-1</f>
        <v>3.4878145360327517E-2</v>
      </c>
      <c r="M180" s="22"/>
    </row>
    <row r="181" spans="2:13" x14ac:dyDescent="0.2">
      <c r="C181" s="8" t="s">
        <v>22</v>
      </c>
      <c r="D181" s="22" t="s">
        <v>4</v>
      </c>
      <c r="G181" s="61">
        <f>G179/G94</f>
        <v>0.10594482187915892</v>
      </c>
      <c r="H181" s="61">
        <f>H179/H94</f>
        <v>0.11371458812076045</v>
      </c>
      <c r="I181" s="61">
        <f>I179/I94</f>
        <v>0.11925301681097736</v>
      </c>
      <c r="J181" s="61">
        <f>J179/J94</f>
        <v>0.12020611086206358</v>
      </c>
      <c r="K181" s="61">
        <f>K179/K94</f>
        <v>0.12038076193579639</v>
      </c>
      <c r="M181" s="22"/>
    </row>
    <row r="182" spans="2:13" x14ac:dyDescent="0.2">
      <c r="C182" s="8" t="s">
        <v>193</v>
      </c>
      <c r="D182" s="22" t="s">
        <v>4</v>
      </c>
      <c r="G182" s="61">
        <f>G126/G94</f>
        <v>5.7186584377664378E-2</v>
      </c>
      <c r="H182" s="61">
        <f>H126/H94</f>
        <v>6.5404205119845946E-2</v>
      </c>
      <c r="I182" s="61">
        <f>I126/I94</f>
        <v>7.1994085762872764E-2</v>
      </c>
      <c r="J182" s="61">
        <f>J126/J94</f>
        <v>7.5133162972332981E-2</v>
      </c>
      <c r="K182" s="61">
        <f>K126/K94</f>
        <v>7.7585034368191141E-2</v>
      </c>
      <c r="M182" s="22"/>
    </row>
    <row r="183" spans="2:13" x14ac:dyDescent="0.2">
      <c r="D183" s="22"/>
      <c r="M183" s="22"/>
    </row>
    <row r="184" spans="2:13" x14ac:dyDescent="0.2">
      <c r="C184" s="8" t="s">
        <v>194</v>
      </c>
      <c r="D184" s="22" t="s">
        <v>2</v>
      </c>
      <c r="G184" s="63">
        <f>G175/G179</f>
        <v>1.8235553324672775</v>
      </c>
      <c r="H184" s="63">
        <f>H175/H179</f>
        <v>1.4509560625855822</v>
      </c>
      <c r="I184" s="63">
        <f>I175/I179</f>
        <v>1.1594739475138305</v>
      </c>
      <c r="J184" s="63">
        <f>J175/J179</f>
        <v>0.94206202869343569</v>
      </c>
      <c r="K184" s="63">
        <f>K175/K179</f>
        <v>0.74364863512480739</v>
      </c>
      <c r="M184" s="22"/>
    </row>
    <row r="185" spans="2:13" x14ac:dyDescent="0.2">
      <c r="C185" s="8" t="s">
        <v>195</v>
      </c>
      <c r="D185" s="22" t="s">
        <v>2</v>
      </c>
      <c r="G185" s="63">
        <f>(G175-G170)/G179</f>
        <v>1.0099804248470898</v>
      </c>
      <c r="H185" s="63">
        <f>(H175-H170)/H179</f>
        <v>0.40397070421627906</v>
      </c>
      <c r="I185" s="63">
        <f>(I175-I170)/I179</f>
        <v>-0.15008261713697557</v>
      </c>
      <c r="J185" s="63">
        <f>(J175-J170)/J179</f>
        <v>-0.68026639231564145</v>
      </c>
      <c r="K185" s="63">
        <f>(K175-K170)/K179</f>
        <v>-1.202931927213853</v>
      </c>
      <c r="M185" s="22" t="s">
        <v>549</v>
      </c>
    </row>
    <row r="186" spans="2:13" x14ac:dyDescent="0.2">
      <c r="C186" s="8" t="s">
        <v>448</v>
      </c>
      <c r="D186" s="22" t="s">
        <v>2</v>
      </c>
      <c r="G186" s="63">
        <f>IFERROR(G179/-(G118+G119),0)</f>
        <v>8.5233067141967762</v>
      </c>
      <c r="H186" s="63">
        <f>IFERROR(H179/-(H118+H119),0)</f>
        <v>10.606728868929174</v>
      </c>
      <c r="I186" s="63">
        <f>IFERROR(I179/-(I118+I119),0)</f>
        <v>13.098835438494202</v>
      </c>
      <c r="J186" s="63">
        <f>IFERROR(J179/-(J118+J119),0)</f>
        <v>15.826406163931622</v>
      </c>
      <c r="K186" s="63">
        <f>IFERROR(K179/-(K118+K119),0)</f>
        <v>19.503933835391798</v>
      </c>
      <c r="M186" s="22"/>
    </row>
    <row r="187" spans="2:13" x14ac:dyDescent="0.2">
      <c r="M187" s="22"/>
    </row>
    <row r="188" spans="2:13" x14ac:dyDescent="0.2">
      <c r="M188" s="22"/>
    </row>
    <row r="189" spans="2:13" x14ac:dyDescent="0.2">
      <c r="B189" s="19" t="s">
        <v>92</v>
      </c>
      <c r="C189" s="19"/>
      <c r="D189" s="20" t="s">
        <v>786</v>
      </c>
      <c r="E189" s="19"/>
      <c r="F189" s="19"/>
      <c r="G189" s="19"/>
      <c r="H189" s="19"/>
      <c r="I189" s="19"/>
      <c r="J189" s="19"/>
      <c r="K189" s="19"/>
      <c r="L189" s="19"/>
      <c r="M189" s="22" t="s">
        <v>449</v>
      </c>
    </row>
    <row r="190" spans="2:13" x14ac:dyDescent="0.2">
      <c r="M190" s="22"/>
    </row>
    <row r="191" spans="2:13" x14ac:dyDescent="0.2">
      <c r="C191" s="134" t="s">
        <v>550</v>
      </c>
      <c r="M191" s="22" t="s">
        <v>450</v>
      </c>
    </row>
    <row r="192" spans="2:13" x14ac:dyDescent="0.2">
      <c r="C192" s="135" t="s">
        <v>451</v>
      </c>
      <c r="E192" s="9">
        <f>G126-(G107+G113)*(1-Acquirer!$E$10)</f>
        <v>558.62515434774957</v>
      </c>
      <c r="M192" s="22"/>
    </row>
    <row r="193" spans="3:13" x14ac:dyDescent="0.2">
      <c r="C193" s="135" t="s">
        <v>452</v>
      </c>
      <c r="E193" s="9">
        <f>IFERROR((G107+G113)/$E$12,0)</f>
        <v>-6.1657248435769887</v>
      </c>
      <c r="M193" s="22"/>
    </row>
    <row r="194" spans="3:13" x14ac:dyDescent="0.2">
      <c r="C194" s="135" t="s">
        <v>453</v>
      </c>
      <c r="E194" s="9">
        <f>I126-(I107+I113)*(1-Acquirer!$E$10)</f>
        <v>701.29395230632235</v>
      </c>
      <c r="M194" s="22"/>
    </row>
    <row r="195" spans="3:13" x14ac:dyDescent="0.2">
      <c r="C195" s="135" t="s">
        <v>454</v>
      </c>
      <c r="E195" s="9">
        <f>IFERROR((I107+I113)/$E$12,0)</f>
        <v>95.437821923365462</v>
      </c>
      <c r="M195" s="22"/>
    </row>
    <row r="196" spans="3:13" x14ac:dyDescent="0.2">
      <c r="M196" s="22"/>
    </row>
    <row r="197" spans="3:13" x14ac:dyDescent="0.2">
      <c r="C197" s="136" t="s">
        <v>551</v>
      </c>
      <c r="M197" s="22"/>
    </row>
    <row r="198" spans="3:13" x14ac:dyDescent="0.2">
      <c r="F198" s="137" t="s">
        <v>309</v>
      </c>
      <c r="M198" s="22"/>
    </row>
    <row r="199" spans="3:13" x14ac:dyDescent="0.2">
      <c r="E199" s="138">
        <f>G135</f>
        <v>-0.10827476902132682</v>
      </c>
      <c r="F199" s="139">
        <v>1.3</v>
      </c>
      <c r="G199" s="139">
        <v>1.35</v>
      </c>
      <c r="H199" s="139">
        <v>1.4</v>
      </c>
      <c r="I199" s="139">
        <v>1.45</v>
      </c>
      <c r="J199" s="139">
        <v>1.5</v>
      </c>
      <c r="M199" s="22" t="s">
        <v>640</v>
      </c>
    </row>
    <row r="200" spans="3:13" x14ac:dyDescent="0.2">
      <c r="C200" s="137" t="s">
        <v>455</v>
      </c>
      <c r="E200" s="140">
        <v>1.4</v>
      </c>
      <c r="F200" s="61">
        <f t="dataTable" ref="F200:J207" dt2D="1" dtr="1" r1="E14" r2="E12"/>
        <v>-8.2545156239769435E-2</v>
      </c>
      <c r="G200" s="61">
        <v>-9.7128987565752833E-2</v>
      </c>
      <c r="H200" s="61">
        <v>-0.11129212587613679</v>
      </c>
      <c r="I200" s="61">
        <v>-0.12505251565712727</v>
      </c>
      <c r="J200" s="61">
        <v>-0.13842709514910057</v>
      </c>
      <c r="M200" s="22"/>
    </row>
    <row r="201" spans="3:13" x14ac:dyDescent="0.2">
      <c r="C201" s="137" t="s">
        <v>456</v>
      </c>
      <c r="E201" s="140">
        <v>1.2</v>
      </c>
      <c r="F201" s="61">
        <v>-8.099166497051502E-2</v>
      </c>
      <c r="G201" s="61">
        <v>-9.5598230620673741E-2</v>
      </c>
      <c r="H201" s="61">
        <v>-0.10978344744873181</v>
      </c>
      <c r="I201" s="61">
        <v>-0.12356528791404975</v>
      </c>
      <c r="J201" s="61">
        <v>-0.13696071666154996</v>
      </c>
      <c r="M201" s="22"/>
    </row>
    <row r="202" spans="3:13" x14ac:dyDescent="0.2">
      <c r="E202" s="140">
        <v>1</v>
      </c>
      <c r="F202" s="61">
        <v>-7.9438173701260717E-2</v>
      </c>
      <c r="G202" s="61">
        <v>-9.4067473675594648E-2</v>
      </c>
      <c r="H202" s="61">
        <v>-0.10827476902132682</v>
      </c>
      <c r="I202" s="61">
        <v>-0.12207806017097234</v>
      </c>
      <c r="J202" s="61">
        <v>-0.1354943381739997</v>
      </c>
      <c r="M202" s="22"/>
    </row>
    <row r="203" spans="3:13" x14ac:dyDescent="0.2">
      <c r="E203" s="140">
        <v>0.8</v>
      </c>
      <c r="F203" s="61">
        <v>-7.7884682432006191E-2</v>
      </c>
      <c r="G203" s="61">
        <v>-9.2536716730515556E-2</v>
      </c>
      <c r="H203" s="61">
        <v>-0.10676609059392184</v>
      </c>
      <c r="I203" s="61">
        <v>-0.12059083242789492</v>
      </c>
      <c r="J203" s="61">
        <v>-0.13402795968644921</v>
      </c>
      <c r="M203" s="22"/>
    </row>
    <row r="204" spans="3:13" x14ac:dyDescent="0.2">
      <c r="E204" s="140">
        <v>0.6</v>
      </c>
      <c r="F204" s="61">
        <v>-7.6331191162751888E-2</v>
      </c>
      <c r="G204" s="61">
        <v>-9.1005959785436574E-2</v>
      </c>
      <c r="H204" s="61">
        <v>-0.10525741216651685</v>
      </c>
      <c r="I204" s="61">
        <v>-0.11910360468481729</v>
      </c>
      <c r="J204" s="61">
        <v>-0.13256158119889883</v>
      </c>
      <c r="M204" s="22"/>
    </row>
    <row r="205" spans="3:13" x14ac:dyDescent="0.2">
      <c r="E205" s="140">
        <v>0.4</v>
      </c>
      <c r="F205" s="61">
        <v>-7.4777699893497473E-2</v>
      </c>
      <c r="G205" s="61">
        <v>-8.9475202840357371E-2</v>
      </c>
      <c r="H205" s="61">
        <v>-0.10374873373911186</v>
      </c>
      <c r="I205" s="61">
        <v>-0.11761637694173999</v>
      </c>
      <c r="J205" s="61">
        <v>-0.13109520271134845</v>
      </c>
      <c r="M205" s="22"/>
    </row>
    <row r="206" spans="3:13" x14ac:dyDescent="0.2">
      <c r="E206" s="140">
        <v>0.2</v>
      </c>
      <c r="F206" s="61">
        <v>-7.3224208624242837E-2</v>
      </c>
      <c r="G206" s="61">
        <v>-8.7944445895278056E-2</v>
      </c>
      <c r="H206" s="61">
        <v>-0.10224005531170677</v>
      </c>
      <c r="I206" s="61">
        <v>-0.11612914919866213</v>
      </c>
      <c r="J206" s="61">
        <v>-0.12962882422379762</v>
      </c>
      <c r="M206" s="22"/>
    </row>
    <row r="207" spans="3:13" x14ac:dyDescent="0.2">
      <c r="E207" s="140">
        <v>0</v>
      </c>
      <c r="F207" s="61">
        <v>-7.1670717354988422E-2</v>
      </c>
      <c r="G207" s="61">
        <v>-8.6413688950198853E-2</v>
      </c>
      <c r="H207" s="61">
        <v>-0.10073137688430178</v>
      </c>
      <c r="I207" s="61">
        <v>-0.11464192145558461</v>
      </c>
      <c r="J207" s="61">
        <v>-0.12816244573624724</v>
      </c>
      <c r="M207" s="22"/>
    </row>
    <row r="208" spans="3:13" x14ac:dyDescent="0.2">
      <c r="M208" s="22"/>
    </row>
    <row r="209" spans="3:13" x14ac:dyDescent="0.2">
      <c r="M209" s="22"/>
    </row>
    <row r="210" spans="3:13" x14ac:dyDescent="0.2">
      <c r="M210" s="22"/>
    </row>
    <row r="211" spans="3:13" x14ac:dyDescent="0.2">
      <c r="C211" s="136" t="s">
        <v>552</v>
      </c>
      <c r="M211" s="22"/>
    </row>
    <row r="212" spans="3:13" x14ac:dyDescent="0.2">
      <c r="F212" s="137" t="s">
        <v>309</v>
      </c>
    </row>
    <row r="213" spans="3:13" x14ac:dyDescent="0.2">
      <c r="E213" s="138">
        <f>I135</f>
        <v>3.6944412167873919E-2</v>
      </c>
      <c r="F213" s="139">
        <v>1.3</v>
      </c>
      <c r="G213" s="139">
        <v>1.35</v>
      </c>
      <c r="H213" s="139">
        <v>1.4</v>
      </c>
      <c r="I213" s="139">
        <v>1.45</v>
      </c>
      <c r="J213" s="139">
        <v>1.5</v>
      </c>
      <c r="M213" s="22" t="s">
        <v>641</v>
      </c>
    </row>
    <row r="214" spans="3:13" x14ac:dyDescent="0.2">
      <c r="C214" s="137" t="s">
        <v>455</v>
      </c>
      <c r="E214" s="140">
        <v>1.4</v>
      </c>
      <c r="F214" s="61">
        <f t="dataTable" ref="F214:J221" dt2D="1" dtr="1" r1="E14" r2="E12" ca="1"/>
        <v>0.11019086437831027</v>
      </c>
      <c r="G214" s="61">
        <v>9.2994327029857216E-2</v>
      </c>
      <c r="H214" s="61">
        <v>7.6293850215380488E-2</v>
      </c>
      <c r="I214" s="61">
        <v>6.0068274678417133E-2</v>
      </c>
      <c r="J214" s="61">
        <v>4.4297627678146823E-2</v>
      </c>
    </row>
    <row r="215" spans="3:13" x14ac:dyDescent="0.2">
      <c r="C215" s="137" t="s">
        <v>456</v>
      </c>
      <c r="E215" s="140">
        <v>1.2</v>
      </c>
      <c r="F215" s="61">
        <v>8.9931739787388221E-2</v>
      </c>
      <c r="G215" s="61">
        <v>7.3031681418297634E-2</v>
      </c>
      <c r="H215" s="61">
        <v>5.6619131191627314E-2</v>
      </c>
      <c r="I215" s="61">
        <v>4.0673294649631098E-2</v>
      </c>
      <c r="J215" s="61">
        <v>2.5174543393938764E-2</v>
      </c>
    </row>
    <row r="216" spans="3:13" x14ac:dyDescent="0.2">
      <c r="E216" s="140">
        <v>1</v>
      </c>
      <c r="F216" s="61">
        <v>6.9672615196465504E-2</v>
      </c>
      <c r="G216" s="61">
        <v>5.306903580673783E-2</v>
      </c>
      <c r="H216" s="61">
        <v>3.6944412167873919E-2</v>
      </c>
      <c r="I216" s="61">
        <v>2.127831462084484E-2</v>
      </c>
      <c r="J216" s="61">
        <v>6.0514591097311499E-3</v>
      </c>
    </row>
    <row r="217" spans="3:13" x14ac:dyDescent="0.2">
      <c r="E217" s="140">
        <v>0.8</v>
      </c>
      <c r="F217" s="61">
        <v>4.9413490605543453E-2</v>
      </c>
      <c r="G217" s="61">
        <v>3.3106390195178026E-2</v>
      </c>
      <c r="H217" s="61">
        <v>1.7269693144120524E-2</v>
      </c>
      <c r="I217" s="61">
        <v>1.8833345920588052E-3</v>
      </c>
      <c r="J217" s="61">
        <v>-1.3071625174476575E-2</v>
      </c>
    </row>
    <row r="218" spans="3:13" x14ac:dyDescent="0.2">
      <c r="E218" s="140">
        <v>0.6</v>
      </c>
      <c r="F218" s="61">
        <v>2.915436601462118E-2</v>
      </c>
      <c r="G218" s="61">
        <v>1.3143744583618222E-2</v>
      </c>
      <c r="H218" s="61">
        <v>-2.4050258796326496E-3</v>
      </c>
      <c r="I218" s="61">
        <v>-1.7511645436727674E-2</v>
      </c>
      <c r="J218" s="61">
        <v>-3.2194709458684412E-2</v>
      </c>
    </row>
    <row r="219" spans="3:13" x14ac:dyDescent="0.2">
      <c r="E219" s="140">
        <v>0.4</v>
      </c>
      <c r="F219" s="61">
        <v>8.8952414236986854E-3</v>
      </c>
      <c r="G219" s="61">
        <v>-6.8189010279411377E-3</v>
      </c>
      <c r="H219" s="61">
        <v>-2.2079744903385823E-2</v>
      </c>
      <c r="I219" s="61">
        <v>-3.6906625465513709E-2</v>
      </c>
      <c r="J219" s="61">
        <v>-5.1317793742892026E-2</v>
      </c>
    </row>
    <row r="220" spans="3:13" x14ac:dyDescent="0.2">
      <c r="E220" s="140">
        <v>0.2</v>
      </c>
      <c r="F220" s="61">
        <v>-1.1363883167223809E-2</v>
      </c>
      <c r="G220" s="61">
        <v>-2.6781546639500942E-2</v>
      </c>
      <c r="H220" s="61">
        <v>-4.1754463927139329E-2</v>
      </c>
      <c r="I220" s="61">
        <v>-5.6301605494299967E-2</v>
      </c>
      <c r="J220" s="61">
        <v>-7.0440878027099973E-2</v>
      </c>
    </row>
    <row r="221" spans="3:13" x14ac:dyDescent="0.2">
      <c r="E221" s="140">
        <v>0</v>
      </c>
      <c r="F221" s="61">
        <v>-3.1623007758145971E-2</v>
      </c>
      <c r="G221" s="61">
        <v>-4.6744192251060523E-2</v>
      </c>
      <c r="H221" s="61">
        <v>-6.1429182950892613E-2</v>
      </c>
      <c r="I221" s="61">
        <v>-7.5696585523086113E-2</v>
      </c>
      <c r="J221" s="61">
        <v>-8.9563962311307477E-2</v>
      </c>
    </row>
  </sheetData>
  <pageMargins left="0.7" right="0.7" top="0.75" bottom="0.75" header="0.3" footer="0.3"/>
  <ignoredErrors>
    <ignoredError sqref="G161:K16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0FB29-6738-A748-B2D5-A401175CAAE4}">
  <dimension ref="A1:Z213"/>
  <sheetViews>
    <sheetView showGridLines="0" workbookViewId="0">
      <pane xSplit="4" ySplit="6" topLeftCell="E145" activePane="bottomRight" state="frozen"/>
      <selection pane="topRight" activeCell="E1" sqref="E1"/>
      <selection pane="bottomLeft" activeCell="A7" sqref="A7"/>
      <selection pane="bottomRight" activeCell="L90" sqref="L90"/>
    </sheetView>
  </sheetViews>
  <sheetFormatPr baseColWidth="10" defaultRowHeight="16" x14ac:dyDescent="0.2"/>
  <cols>
    <col min="1" max="2" width="2.83203125" customWidth="1"/>
    <col min="3" max="3" width="50.83203125" customWidth="1"/>
    <col min="5" max="5" width="11.83203125" style="45" bestFit="1" customWidth="1"/>
    <col min="6" max="6" width="8.6640625" style="45" bestFit="1" customWidth="1"/>
    <col min="7" max="10" width="11.1640625" style="45" bestFit="1" customWidth="1"/>
    <col min="11" max="11" width="11" style="45" bestFit="1" customWidth="1"/>
    <col min="12" max="12" width="3.6640625" customWidth="1"/>
    <col min="13" max="13" width="89.83203125" style="12" customWidth="1"/>
  </cols>
  <sheetData>
    <row r="1" spans="2:26" x14ac:dyDescent="0.2">
      <c r="E1"/>
      <c r="F1"/>
      <c r="G1"/>
      <c r="H1"/>
      <c r="I1"/>
      <c r="J1"/>
      <c r="K1"/>
      <c r="M1"/>
    </row>
    <row r="2" spans="2:26" ht="19" x14ac:dyDescent="0.2">
      <c r="B2" s="91" t="s">
        <v>42</v>
      </c>
      <c r="C2" s="17"/>
      <c r="D2" s="17"/>
      <c r="E2" s="17"/>
      <c r="F2" s="17"/>
      <c r="G2" s="17"/>
      <c r="H2" s="17"/>
      <c r="I2" s="17"/>
      <c r="J2" s="17"/>
      <c r="K2" s="17"/>
      <c r="L2" s="17"/>
      <c r="M2" s="17"/>
    </row>
    <row r="3" spans="2:26" x14ac:dyDescent="0.2">
      <c r="B3" s="22" t="s">
        <v>785</v>
      </c>
      <c r="C3" s="17"/>
      <c r="D3" s="17"/>
      <c r="E3" s="17"/>
      <c r="F3" s="17"/>
      <c r="G3" s="17"/>
      <c r="H3" s="17"/>
      <c r="I3" s="17"/>
      <c r="J3" s="17"/>
      <c r="K3" s="17"/>
      <c r="L3" s="17"/>
      <c r="M3" s="17"/>
    </row>
    <row r="4" spans="2:26" x14ac:dyDescent="0.2">
      <c r="B4" s="22" t="s">
        <v>218</v>
      </c>
      <c r="C4" s="17"/>
      <c r="D4" s="17"/>
      <c r="E4" s="17"/>
      <c r="F4" s="17"/>
      <c r="G4" s="17"/>
      <c r="H4" s="17"/>
      <c r="I4" s="17"/>
      <c r="J4" s="17"/>
      <c r="K4" s="17"/>
      <c r="L4" s="17"/>
      <c r="M4" s="17"/>
    </row>
    <row r="5" spans="2:26" x14ac:dyDescent="0.2">
      <c r="B5" s="19" t="s">
        <v>92</v>
      </c>
      <c r="C5" s="19"/>
      <c r="D5" s="20" t="s">
        <v>786</v>
      </c>
      <c r="E5" s="19"/>
      <c r="F5" s="19"/>
      <c r="G5" s="19"/>
      <c r="H5" s="19"/>
      <c r="I5" s="19"/>
      <c r="J5" s="19"/>
      <c r="K5" s="19"/>
      <c r="L5" s="21"/>
      <c r="M5" s="17"/>
    </row>
    <row r="6" spans="2:26" x14ac:dyDescent="0.2">
      <c r="B6" s="17"/>
      <c r="C6" s="17"/>
      <c r="D6" s="17"/>
      <c r="E6" s="17"/>
      <c r="F6" s="17"/>
      <c r="G6" s="17"/>
      <c r="H6" s="17"/>
      <c r="I6" s="17"/>
      <c r="J6" s="17"/>
      <c r="K6" s="17"/>
      <c r="L6" s="17"/>
      <c r="M6" s="17"/>
    </row>
    <row r="7" spans="2:26" x14ac:dyDescent="0.2">
      <c r="B7" s="17"/>
      <c r="C7" s="17" t="s">
        <v>44</v>
      </c>
      <c r="D7" s="22" t="s">
        <v>9</v>
      </c>
      <c r="E7" s="3" t="s">
        <v>45</v>
      </c>
      <c r="F7" s="17"/>
      <c r="G7" s="17"/>
      <c r="H7" s="17"/>
      <c r="I7" s="17"/>
      <c r="J7" s="17"/>
      <c r="K7" s="17"/>
      <c r="L7" s="17"/>
      <c r="M7" s="22"/>
    </row>
    <row r="8" spans="2:26" x14ac:dyDescent="0.2">
      <c r="B8" s="17"/>
      <c r="C8" s="17" t="s">
        <v>43</v>
      </c>
      <c r="D8" s="22" t="s">
        <v>9</v>
      </c>
      <c r="E8" s="3" t="s">
        <v>46</v>
      </c>
      <c r="F8" s="17"/>
      <c r="G8" s="17"/>
      <c r="H8" s="17"/>
      <c r="I8" s="17"/>
      <c r="J8" s="17"/>
      <c r="K8" s="17"/>
      <c r="L8" s="17"/>
      <c r="M8" s="22"/>
    </row>
    <row r="9" spans="2:26" x14ac:dyDescent="0.2">
      <c r="B9" s="17"/>
      <c r="C9" s="17" t="s">
        <v>10</v>
      </c>
      <c r="D9" s="22" t="s">
        <v>0</v>
      </c>
      <c r="E9" s="92">
        <v>45657</v>
      </c>
      <c r="F9" s="17"/>
      <c r="G9" s="17"/>
      <c r="H9" s="17"/>
      <c r="I9" s="17"/>
      <c r="J9" s="17"/>
      <c r="K9" s="17"/>
      <c r="L9" s="17"/>
      <c r="M9" s="22"/>
    </row>
    <row r="10" spans="2:26" x14ac:dyDescent="0.2">
      <c r="B10" s="17"/>
      <c r="C10" s="17" t="s">
        <v>8</v>
      </c>
      <c r="D10" s="22" t="s">
        <v>4</v>
      </c>
      <c r="E10" s="93">
        <v>0.24</v>
      </c>
      <c r="F10" s="17"/>
      <c r="G10" s="17"/>
      <c r="H10" s="17"/>
      <c r="I10" s="17"/>
      <c r="J10" s="17"/>
      <c r="K10" s="17"/>
      <c r="L10" s="17"/>
      <c r="M10" s="22" t="s">
        <v>206</v>
      </c>
      <c r="W10" s="1"/>
      <c r="X10" s="1"/>
      <c r="Y10" s="1"/>
      <c r="Z10" s="1"/>
    </row>
    <row r="11" spans="2:26" x14ac:dyDescent="0.2">
      <c r="B11" s="17"/>
      <c r="C11" s="17" t="s">
        <v>47</v>
      </c>
      <c r="D11" s="22" t="s">
        <v>3</v>
      </c>
      <c r="E11" s="94">
        <v>34.5</v>
      </c>
      <c r="F11" s="17"/>
      <c r="G11" s="17"/>
      <c r="H11" s="17"/>
      <c r="I11" s="17"/>
      <c r="J11" s="17"/>
      <c r="K11" s="17"/>
      <c r="L11" s="17"/>
      <c r="M11" s="22" t="s">
        <v>69</v>
      </c>
      <c r="V11" s="2"/>
      <c r="W11" s="1"/>
      <c r="X11" s="1"/>
      <c r="Y11" s="1"/>
      <c r="Z11" s="1"/>
    </row>
    <row r="12" spans="2:26" x14ac:dyDescent="0.2">
      <c r="B12" s="17"/>
      <c r="C12" s="17"/>
      <c r="D12" s="22"/>
      <c r="E12" s="94"/>
      <c r="F12" s="17"/>
      <c r="G12" s="17"/>
      <c r="H12" s="17"/>
      <c r="I12" s="17"/>
      <c r="J12" s="17"/>
      <c r="K12" s="17"/>
      <c r="L12" s="17"/>
      <c r="M12" s="22"/>
      <c r="V12" s="2"/>
      <c r="W12" s="1"/>
      <c r="X12" s="1"/>
      <c r="Y12" s="1"/>
      <c r="Z12" s="1"/>
    </row>
    <row r="13" spans="2:26" x14ac:dyDescent="0.2">
      <c r="B13" s="17"/>
      <c r="C13" s="17" t="s">
        <v>48</v>
      </c>
      <c r="D13" s="22" t="s">
        <v>49</v>
      </c>
      <c r="E13" s="4">
        <v>116.4</v>
      </c>
      <c r="F13" s="17"/>
      <c r="G13" s="17"/>
      <c r="H13" s="17"/>
      <c r="I13" s="17"/>
      <c r="J13" s="17"/>
      <c r="K13" s="17"/>
      <c r="L13" s="17"/>
      <c r="M13" s="22"/>
      <c r="P13" s="89" t="s">
        <v>52</v>
      </c>
      <c r="Q13" s="90"/>
      <c r="R13" s="90"/>
      <c r="S13" s="90"/>
      <c r="T13" s="90"/>
      <c r="V13" s="2"/>
      <c r="W13" s="1"/>
      <c r="X13" s="1"/>
      <c r="Y13" s="1"/>
      <c r="Z13" s="1"/>
    </row>
    <row r="14" spans="2:26" x14ac:dyDescent="0.2">
      <c r="B14" s="17"/>
      <c r="C14" s="17" t="s">
        <v>50</v>
      </c>
      <c r="D14" s="22" t="s">
        <v>49</v>
      </c>
      <c r="E14" s="94">
        <f>T20</f>
        <v>2.3057971014492757</v>
      </c>
      <c r="F14" s="17"/>
      <c r="G14" s="17"/>
      <c r="H14" s="17"/>
      <c r="I14" s="17"/>
      <c r="J14" s="17"/>
      <c r="K14" s="17"/>
      <c r="L14" s="17"/>
      <c r="M14" s="22" t="s">
        <v>70</v>
      </c>
      <c r="P14" s="90"/>
      <c r="Q14" s="90"/>
      <c r="R14" s="90"/>
      <c r="S14" s="90"/>
      <c r="T14" s="90"/>
      <c r="V14" s="2"/>
      <c r="W14" s="1"/>
      <c r="X14" s="1"/>
      <c r="Y14" s="1"/>
      <c r="Z14" s="1"/>
    </row>
    <row r="15" spans="2:26" x14ac:dyDescent="0.2">
      <c r="B15" s="17"/>
      <c r="C15" s="16" t="s">
        <v>51</v>
      </c>
      <c r="D15" s="69" t="s">
        <v>49</v>
      </c>
      <c r="E15" s="97">
        <f>SUM(E13:E14)</f>
        <v>118.70579710144928</v>
      </c>
      <c r="F15" s="17"/>
      <c r="G15" s="17"/>
      <c r="H15" s="17"/>
      <c r="I15" s="17"/>
      <c r="J15" s="17"/>
      <c r="K15" s="17"/>
      <c r="L15" s="17"/>
      <c r="M15" s="22"/>
      <c r="P15" s="113" t="s">
        <v>11</v>
      </c>
      <c r="Q15" s="114"/>
      <c r="R15" s="113" t="s">
        <v>57</v>
      </c>
      <c r="S15" s="113" t="s">
        <v>58</v>
      </c>
      <c r="T15" s="113" t="s">
        <v>59</v>
      </c>
      <c r="V15" s="2"/>
      <c r="W15" s="1"/>
      <c r="X15" s="1"/>
      <c r="Y15" s="1"/>
      <c r="Z15" s="1"/>
    </row>
    <row r="16" spans="2:26" x14ac:dyDescent="0.2">
      <c r="B16" s="17"/>
      <c r="C16" s="17"/>
      <c r="D16" s="70"/>
      <c r="E16" s="17"/>
      <c r="F16" s="17"/>
      <c r="G16" s="17"/>
      <c r="H16" s="17"/>
      <c r="I16" s="17"/>
      <c r="J16" s="17"/>
      <c r="K16" s="17"/>
      <c r="L16" s="17"/>
      <c r="M16" s="22"/>
      <c r="P16" s="17" t="s">
        <v>53</v>
      </c>
      <c r="Q16" s="87"/>
      <c r="R16" s="4">
        <v>3.2</v>
      </c>
      <c r="S16" s="23">
        <v>21.5</v>
      </c>
      <c r="T16" s="29">
        <f>IF($E$11&gt;S16,R16-R16*S16/$E$11, 0)</f>
        <v>1.2057971014492757</v>
      </c>
    </row>
    <row r="17" spans="2:20" x14ac:dyDescent="0.2">
      <c r="B17" s="17"/>
      <c r="C17" s="25" t="s">
        <v>60</v>
      </c>
      <c r="D17" s="22" t="s">
        <v>61</v>
      </c>
      <c r="E17" s="7">
        <f>E15*E11</f>
        <v>4095.35</v>
      </c>
      <c r="F17" s="17"/>
      <c r="G17" s="17"/>
      <c r="H17" s="17"/>
      <c r="I17" s="17"/>
      <c r="J17" s="17"/>
      <c r="K17" s="17"/>
      <c r="L17" s="17"/>
      <c r="M17" s="22"/>
      <c r="P17" s="17" t="s">
        <v>54</v>
      </c>
      <c r="Q17" s="87"/>
      <c r="R17" s="4">
        <v>1.1000000000000001</v>
      </c>
      <c r="S17" s="88" t="s">
        <v>55</v>
      </c>
      <c r="T17" s="29">
        <f>R17</f>
        <v>1.1000000000000001</v>
      </c>
    </row>
    <row r="18" spans="2:20" x14ac:dyDescent="0.2">
      <c r="B18" s="17"/>
      <c r="C18" s="17" t="s">
        <v>62</v>
      </c>
      <c r="D18" s="22" t="s">
        <v>61</v>
      </c>
      <c r="E18" s="9">
        <f>-E116</f>
        <v>-210.04234595999947</v>
      </c>
      <c r="F18" s="17"/>
      <c r="G18" s="17"/>
      <c r="H18" s="17"/>
      <c r="I18" s="17"/>
      <c r="J18" s="17"/>
      <c r="K18" s="17"/>
      <c r="L18" s="17"/>
      <c r="M18" s="22"/>
      <c r="T18" s="17"/>
    </row>
    <row r="19" spans="2:20" x14ac:dyDescent="0.2">
      <c r="B19" s="17"/>
      <c r="C19" s="17" t="s">
        <v>63</v>
      </c>
      <c r="D19" s="22" t="s">
        <v>61</v>
      </c>
      <c r="E19" s="9">
        <f>E135</f>
        <v>1650</v>
      </c>
      <c r="F19" s="17"/>
      <c r="G19" s="17"/>
      <c r="H19" s="17"/>
      <c r="I19" s="17"/>
      <c r="J19" s="17"/>
      <c r="K19" s="17"/>
      <c r="L19" s="17"/>
      <c r="M19" s="22"/>
      <c r="P19" s="1"/>
      <c r="Q19" s="1"/>
      <c r="R19" s="1"/>
      <c r="S19" s="1"/>
      <c r="T19" s="17"/>
    </row>
    <row r="20" spans="2:20" x14ac:dyDescent="0.2">
      <c r="B20" s="17"/>
      <c r="C20" s="17" t="s">
        <v>64</v>
      </c>
      <c r="D20" s="22" t="s">
        <v>61</v>
      </c>
      <c r="E20" s="10"/>
      <c r="F20" s="17"/>
      <c r="G20" s="17"/>
      <c r="H20" s="17"/>
      <c r="I20" s="17"/>
      <c r="J20" s="17"/>
      <c r="K20" s="17"/>
      <c r="L20" s="17"/>
      <c r="M20" s="22" t="s">
        <v>131</v>
      </c>
      <c r="P20" s="83" t="s">
        <v>56</v>
      </c>
      <c r="Q20" s="84"/>
      <c r="R20" s="85">
        <f>SUM(R16:R17)</f>
        <v>4.3000000000000007</v>
      </c>
      <c r="S20" s="84"/>
      <c r="T20" s="86">
        <f>SUM(T16:T17)</f>
        <v>2.3057971014492757</v>
      </c>
    </row>
    <row r="21" spans="2:20" x14ac:dyDescent="0.2">
      <c r="B21" s="17"/>
      <c r="C21" s="17" t="s">
        <v>65</v>
      </c>
      <c r="D21" s="22" t="s">
        <v>61</v>
      </c>
      <c r="E21" s="10"/>
      <c r="F21" s="17"/>
      <c r="G21" s="17"/>
      <c r="H21" s="17"/>
      <c r="I21" s="17"/>
      <c r="J21" s="17"/>
      <c r="K21" s="17"/>
      <c r="L21" s="17"/>
      <c r="M21" s="22"/>
    </row>
    <row r="22" spans="2:20" x14ac:dyDescent="0.2">
      <c r="B22" s="17"/>
      <c r="C22" s="17" t="s">
        <v>66</v>
      </c>
      <c r="D22" s="22" t="s">
        <v>61</v>
      </c>
      <c r="E22" s="10"/>
      <c r="F22" s="17"/>
      <c r="G22" s="17"/>
      <c r="H22" s="17"/>
      <c r="I22" s="17"/>
      <c r="J22" s="17"/>
      <c r="K22" s="17"/>
      <c r="L22" s="17"/>
      <c r="M22" s="22"/>
    </row>
    <row r="23" spans="2:20" x14ac:dyDescent="0.2">
      <c r="B23" s="17"/>
      <c r="C23" s="17" t="s">
        <v>67</v>
      </c>
      <c r="D23" s="22" t="s">
        <v>61</v>
      </c>
      <c r="E23" s="10"/>
      <c r="F23" s="17"/>
      <c r="G23" s="17"/>
      <c r="H23" s="17"/>
      <c r="I23" s="17"/>
      <c r="J23" s="17"/>
      <c r="K23" s="17"/>
      <c r="L23" s="17"/>
      <c r="M23" s="22" t="s">
        <v>130</v>
      </c>
    </row>
    <row r="24" spans="2:20" ht="17" thickBot="1" x14ac:dyDescent="0.25">
      <c r="B24" s="17"/>
      <c r="C24" s="25" t="s">
        <v>68</v>
      </c>
      <c r="D24" s="22" t="s">
        <v>61</v>
      </c>
      <c r="E24" s="11">
        <f>SUM(E17:E23)</f>
        <v>5535.3076540400007</v>
      </c>
      <c r="F24" s="17"/>
      <c r="G24" s="17"/>
      <c r="H24" s="17"/>
      <c r="I24" s="17"/>
      <c r="J24" s="17"/>
      <c r="K24" s="17"/>
      <c r="L24" s="17"/>
      <c r="M24" s="22"/>
    </row>
    <row r="25" spans="2:20" ht="17" thickTop="1" x14ac:dyDescent="0.2">
      <c r="B25" s="17"/>
      <c r="C25" s="17"/>
      <c r="D25" s="18"/>
      <c r="E25" s="17"/>
      <c r="F25" s="17"/>
      <c r="G25" s="17"/>
      <c r="H25" s="17"/>
      <c r="I25" s="17"/>
      <c r="J25" s="17"/>
      <c r="K25" s="17"/>
      <c r="L25" s="17"/>
      <c r="M25" s="22"/>
    </row>
    <row r="26" spans="2:20" x14ac:dyDescent="0.2">
      <c r="B26" s="17"/>
      <c r="C26" s="17" t="s">
        <v>199</v>
      </c>
      <c r="D26" s="18" t="s">
        <v>2</v>
      </c>
      <c r="E26" s="82">
        <f>E24/E192</f>
        <v>9.4133690880440462</v>
      </c>
      <c r="F26" s="17"/>
      <c r="G26" s="17"/>
      <c r="H26" s="26"/>
      <c r="I26" s="17"/>
      <c r="J26" s="27"/>
      <c r="K26" s="28"/>
      <c r="L26" s="29"/>
      <c r="M26" s="22"/>
    </row>
    <row r="27" spans="2:20" x14ac:dyDescent="0.2">
      <c r="B27" s="17"/>
      <c r="C27" s="17" t="s">
        <v>200</v>
      </c>
      <c r="D27" s="18" t="s">
        <v>2</v>
      </c>
      <c r="E27" s="82">
        <f>E24/F192</f>
        <v>8.7059707893528646</v>
      </c>
      <c r="F27" s="17"/>
      <c r="G27" s="17"/>
      <c r="H27" s="17"/>
      <c r="I27" s="17"/>
      <c r="J27" s="17"/>
      <c r="K27" s="17"/>
      <c r="L27" s="17"/>
      <c r="M27" s="22"/>
    </row>
    <row r="28" spans="2:20" x14ac:dyDescent="0.2">
      <c r="B28" s="17"/>
      <c r="C28" s="17" t="s">
        <v>201</v>
      </c>
      <c r="D28" s="18" t="s">
        <v>2</v>
      </c>
      <c r="E28" s="82">
        <f>E11/E111</f>
        <v>13.657464260011622</v>
      </c>
      <c r="F28" s="17"/>
      <c r="G28" s="17"/>
      <c r="H28" s="17"/>
      <c r="I28" s="17"/>
      <c r="J28" s="17"/>
      <c r="K28" s="17"/>
      <c r="L28" s="17"/>
      <c r="M28" s="22"/>
    </row>
    <row r="29" spans="2:20" x14ac:dyDescent="0.2">
      <c r="B29" s="17"/>
      <c r="C29" s="17"/>
      <c r="D29" s="17"/>
      <c r="E29" s="17"/>
      <c r="F29" s="17"/>
      <c r="G29" s="17"/>
      <c r="H29" s="17"/>
      <c r="I29" s="17"/>
      <c r="J29" s="17"/>
      <c r="K29" s="17"/>
      <c r="L29" s="17"/>
      <c r="M29" s="22"/>
    </row>
    <row r="30" spans="2:20" x14ac:dyDescent="0.2">
      <c r="B30" s="17"/>
      <c r="C30" s="17"/>
      <c r="D30" s="17"/>
      <c r="E30" s="17"/>
      <c r="F30" s="17"/>
      <c r="G30" s="17"/>
      <c r="H30" s="17"/>
      <c r="I30" s="17"/>
      <c r="J30" s="17"/>
      <c r="K30" s="17"/>
      <c r="L30" s="17"/>
      <c r="M30" s="22"/>
    </row>
    <row r="31" spans="2:20" x14ac:dyDescent="0.2">
      <c r="B31" s="17"/>
      <c r="C31" s="17"/>
      <c r="D31" s="17"/>
      <c r="E31" s="17"/>
      <c r="F31" s="17"/>
      <c r="G31" s="17"/>
      <c r="H31" s="17"/>
      <c r="I31" s="17"/>
      <c r="J31" s="17"/>
      <c r="K31" s="17"/>
      <c r="L31" s="17"/>
      <c r="M31" s="22"/>
    </row>
    <row r="32" spans="2:20" x14ac:dyDescent="0.2">
      <c r="B32" s="36" t="s">
        <v>94</v>
      </c>
      <c r="C32" s="30"/>
      <c r="D32" s="30"/>
      <c r="E32" s="31"/>
      <c r="F32" s="38"/>
      <c r="G32" s="32" t="s">
        <v>12</v>
      </c>
      <c r="H32" s="32"/>
      <c r="I32" s="32"/>
      <c r="J32" s="32"/>
      <c r="K32" s="32"/>
      <c r="L32" s="17"/>
      <c r="M32" s="22" t="s">
        <v>132</v>
      </c>
    </row>
    <row r="33" spans="1:13" x14ac:dyDescent="0.2">
      <c r="B33" s="36"/>
      <c r="C33" s="30"/>
      <c r="D33" s="20"/>
      <c r="E33" s="33">
        <f>Merger_Model!$E$89</f>
        <v>45657</v>
      </c>
      <c r="F33" s="39">
        <f>Merger_Model!$F$89</f>
        <v>46022</v>
      </c>
      <c r="G33" s="39">
        <f>Merger_Model!$G$89</f>
        <v>46387</v>
      </c>
      <c r="H33" s="39">
        <f>Merger_Model!$H$89</f>
        <v>46752</v>
      </c>
      <c r="I33" s="39">
        <f>Merger_Model!$I$89</f>
        <v>47118</v>
      </c>
      <c r="J33" s="39">
        <f>Merger_Model!$J$89</f>
        <v>47483</v>
      </c>
      <c r="K33" s="39">
        <f>Merger_Model!$K$89</f>
        <v>47848</v>
      </c>
      <c r="L33" s="17"/>
      <c r="M33" s="22"/>
    </row>
    <row r="34" spans="1:13" x14ac:dyDescent="0.2">
      <c r="A34" s="22"/>
      <c r="B34" s="22"/>
      <c r="C34" s="22"/>
      <c r="D34" s="22"/>
      <c r="E34" s="22"/>
      <c r="F34" s="22"/>
      <c r="G34" s="22"/>
      <c r="H34" s="22"/>
      <c r="I34" s="22"/>
      <c r="J34" s="22"/>
      <c r="K34" s="22"/>
      <c r="L34" s="22"/>
      <c r="M34" s="22"/>
    </row>
    <row r="35" spans="1:13" x14ac:dyDescent="0.2">
      <c r="B35" s="17"/>
      <c r="C35" s="16" t="s">
        <v>13</v>
      </c>
      <c r="D35" s="17"/>
      <c r="E35" s="17"/>
      <c r="F35" s="17"/>
      <c r="G35" s="17"/>
      <c r="H35" s="17"/>
      <c r="I35" s="17"/>
      <c r="J35" s="17"/>
      <c r="K35" s="17"/>
      <c r="L35" s="17"/>
      <c r="M35" s="22"/>
    </row>
    <row r="36" spans="1:13" x14ac:dyDescent="0.2">
      <c r="B36" s="17"/>
      <c r="C36" s="26" t="s">
        <v>95</v>
      </c>
      <c r="D36" s="71" t="s">
        <v>4</v>
      </c>
      <c r="E36" s="53" t="s">
        <v>55</v>
      </c>
      <c r="F36" s="48">
        <v>0.03</v>
      </c>
      <c r="G36" s="48">
        <v>3.5000000000000003E-2</v>
      </c>
      <c r="H36" s="48">
        <v>3.3000000000000002E-2</v>
      </c>
      <c r="I36" s="48">
        <v>0.03</v>
      </c>
      <c r="J36" s="48">
        <v>2.8000000000000001E-2</v>
      </c>
      <c r="K36" s="48">
        <v>2.5000000000000001E-2</v>
      </c>
      <c r="L36" s="17"/>
      <c r="M36" s="22"/>
    </row>
    <row r="37" spans="1:13" x14ac:dyDescent="0.2">
      <c r="B37" s="17"/>
      <c r="C37" s="26" t="s">
        <v>96</v>
      </c>
      <c r="D37" s="71" t="s">
        <v>4</v>
      </c>
      <c r="E37" s="53" t="s">
        <v>55</v>
      </c>
      <c r="F37" s="48">
        <v>5.5E-2</v>
      </c>
      <c r="G37" s="48">
        <v>0.06</v>
      </c>
      <c r="H37" s="48">
        <v>5.5E-2</v>
      </c>
      <c r="I37" s="48">
        <v>0.05</v>
      </c>
      <c r="J37" s="48">
        <v>4.4999999999999998E-2</v>
      </c>
      <c r="K37" s="48">
        <v>0.04</v>
      </c>
      <c r="L37" s="17"/>
      <c r="M37" s="22"/>
    </row>
    <row r="38" spans="1:13" x14ac:dyDescent="0.2">
      <c r="B38" s="17"/>
      <c r="C38" s="26" t="s">
        <v>97</v>
      </c>
      <c r="D38" s="71" t="s">
        <v>4</v>
      </c>
      <c r="E38" s="53" t="s">
        <v>55</v>
      </c>
      <c r="F38" s="48">
        <v>3.5000000000000003E-2</v>
      </c>
      <c r="G38" s="48">
        <v>4.4999999999999998E-2</v>
      </c>
      <c r="H38" s="48">
        <v>4.2000000000000003E-2</v>
      </c>
      <c r="I38" s="48">
        <v>3.7999999999999999E-2</v>
      </c>
      <c r="J38" s="48">
        <v>3.5000000000000003E-2</v>
      </c>
      <c r="K38" s="48">
        <v>0.03</v>
      </c>
      <c r="L38" s="17"/>
      <c r="M38" s="22"/>
    </row>
    <row r="39" spans="1:13" x14ac:dyDescent="0.2">
      <c r="B39" s="17"/>
      <c r="C39" s="26" t="s">
        <v>98</v>
      </c>
      <c r="D39" s="71" t="s">
        <v>4</v>
      </c>
      <c r="E39" s="53" t="s">
        <v>55</v>
      </c>
      <c r="F39" s="48">
        <v>4.4999999999999998E-2</v>
      </c>
      <c r="G39" s="48">
        <v>0.05</v>
      </c>
      <c r="H39" s="48">
        <v>4.8000000000000001E-2</v>
      </c>
      <c r="I39" s="48">
        <v>4.4999999999999998E-2</v>
      </c>
      <c r="J39" s="48">
        <v>0.04</v>
      </c>
      <c r="K39" s="48">
        <v>3.5000000000000003E-2</v>
      </c>
      <c r="L39" s="17"/>
      <c r="M39" s="22"/>
    </row>
    <row r="40" spans="1:13" x14ac:dyDescent="0.2">
      <c r="B40" s="17"/>
      <c r="C40" s="26" t="s">
        <v>99</v>
      </c>
      <c r="D40" s="71" t="s">
        <v>4</v>
      </c>
      <c r="E40" s="53" t="s">
        <v>55</v>
      </c>
      <c r="F40" s="48">
        <v>6.5000000000000002E-2</v>
      </c>
      <c r="G40" s="48">
        <v>7.0000000000000007E-2</v>
      </c>
      <c r="H40" s="48">
        <v>6.5000000000000002E-2</v>
      </c>
      <c r="I40" s="48">
        <v>0.06</v>
      </c>
      <c r="J40" s="48">
        <v>0.05</v>
      </c>
      <c r="K40" s="48">
        <v>4.4999999999999998E-2</v>
      </c>
      <c r="L40" s="17"/>
      <c r="M40" s="22"/>
    </row>
    <row r="41" spans="1:13" x14ac:dyDescent="0.2">
      <c r="B41" s="17"/>
      <c r="C41" s="26"/>
      <c r="D41" s="71"/>
      <c r="E41"/>
      <c r="F41"/>
      <c r="G41"/>
      <c r="H41"/>
      <c r="I41"/>
      <c r="J41"/>
      <c r="K41"/>
      <c r="L41" s="17"/>
      <c r="M41" s="22"/>
    </row>
    <row r="42" spans="1:13" x14ac:dyDescent="0.2">
      <c r="B42" s="17"/>
      <c r="C42" s="17" t="s">
        <v>100</v>
      </c>
      <c r="D42" s="18" t="s">
        <v>4</v>
      </c>
      <c r="E42" s="76">
        <f>-E91/E90</f>
        <v>0.7350000000000001</v>
      </c>
      <c r="F42" s="48">
        <v>0.73399999999999999</v>
      </c>
      <c r="G42" s="48">
        <v>0.73199999999999998</v>
      </c>
      <c r="H42" s="48">
        <v>0.73</v>
      </c>
      <c r="I42" s="48">
        <v>0.72899999999999998</v>
      </c>
      <c r="J42" s="48">
        <v>0.72799999999999998</v>
      </c>
      <c r="K42" s="48">
        <v>0.72799999999999998</v>
      </c>
      <c r="L42" s="17"/>
      <c r="M42" s="22" t="s">
        <v>203</v>
      </c>
    </row>
    <row r="43" spans="1:13" x14ac:dyDescent="0.2">
      <c r="B43" s="17"/>
      <c r="C43" s="17"/>
      <c r="D43" s="71"/>
      <c r="E43"/>
      <c r="F43"/>
      <c r="G43"/>
      <c r="H43"/>
      <c r="I43"/>
      <c r="J43"/>
      <c r="K43"/>
      <c r="L43" s="17"/>
      <c r="M43" s="22"/>
    </row>
    <row r="44" spans="1:13" x14ac:dyDescent="0.2">
      <c r="B44" s="17"/>
      <c r="C44" s="17" t="s">
        <v>101</v>
      </c>
      <c r="D44" s="22" t="s">
        <v>1</v>
      </c>
      <c r="E44" s="49">
        <v>14200</v>
      </c>
      <c r="F44" s="49">
        <v>14150</v>
      </c>
      <c r="G44" s="49">
        <v>14450</v>
      </c>
      <c r="H44" s="49">
        <v>14700</v>
      </c>
      <c r="I44" s="49">
        <v>14900</v>
      </c>
      <c r="J44" s="49">
        <v>15050</v>
      </c>
      <c r="K44" s="49">
        <v>15150</v>
      </c>
      <c r="L44" s="17"/>
      <c r="M44" s="22" t="s">
        <v>202</v>
      </c>
    </row>
    <row r="45" spans="1:13" x14ac:dyDescent="0.2">
      <c r="B45" s="17"/>
      <c r="C45" s="17" t="s">
        <v>102</v>
      </c>
      <c r="D45" s="22" t="s">
        <v>103</v>
      </c>
      <c r="E45" s="50">
        <f>E90*1000000/E44</f>
        <v>435563.38028169016</v>
      </c>
      <c r="F45" s="50">
        <f t="shared" ref="F45:K45" si="0">F90*1000000/F44</f>
        <v>455517.66784452292</v>
      </c>
      <c r="G45" s="50">
        <f t="shared" si="0"/>
        <v>467549.27335640136</v>
      </c>
      <c r="H45" s="50">
        <f t="shared" si="0"/>
        <v>480339.35306122451</v>
      </c>
      <c r="I45" s="50">
        <f t="shared" si="0"/>
        <v>493504.75528046978</v>
      </c>
      <c r="J45" s="50">
        <f t="shared" si="0"/>
        <v>506818.21411906945</v>
      </c>
      <c r="K45" s="50">
        <f t="shared" si="0"/>
        <v>520108.91102795483</v>
      </c>
      <c r="L45" s="17"/>
      <c r="M45" s="22"/>
    </row>
    <row r="46" spans="1:13" x14ac:dyDescent="0.2">
      <c r="B46" s="17"/>
      <c r="C46" s="18" t="s">
        <v>104</v>
      </c>
      <c r="D46" s="22" t="s">
        <v>103</v>
      </c>
      <c r="E46" s="50">
        <f>-E95*1000000/E44</f>
        <v>74014.000000000015</v>
      </c>
      <c r="F46" s="51">
        <f>E46*(1+F47)</f>
        <v>76234.420000000013</v>
      </c>
      <c r="G46" s="51">
        <f t="shared" ref="G46:K46" si="1">F46*(1+G47)</f>
        <v>78521.452600000019</v>
      </c>
      <c r="H46" s="51">
        <f t="shared" si="1"/>
        <v>80877.096178000022</v>
      </c>
      <c r="I46" s="51">
        <f t="shared" si="1"/>
        <v>83141.654870984028</v>
      </c>
      <c r="J46" s="51">
        <f t="shared" si="1"/>
        <v>85469.621207371587</v>
      </c>
      <c r="K46" s="51">
        <f t="shared" si="1"/>
        <v>87606.361737555868</v>
      </c>
      <c r="L46" s="17"/>
      <c r="M46" s="22" t="s">
        <v>204</v>
      </c>
    </row>
    <row r="47" spans="1:13" x14ac:dyDescent="0.2">
      <c r="B47" s="17"/>
      <c r="C47" s="17" t="s">
        <v>105</v>
      </c>
      <c r="D47" s="22" t="s">
        <v>4</v>
      </c>
      <c r="E47"/>
      <c r="F47" s="48">
        <v>0.03</v>
      </c>
      <c r="G47" s="48">
        <v>0.03</v>
      </c>
      <c r="H47" s="48">
        <v>0.03</v>
      </c>
      <c r="I47" s="48">
        <v>2.8000000000000001E-2</v>
      </c>
      <c r="J47" s="48">
        <v>2.8000000000000001E-2</v>
      </c>
      <c r="K47" s="48">
        <v>2.5000000000000001E-2</v>
      </c>
      <c r="L47" s="17"/>
      <c r="M47" s="22"/>
    </row>
    <row r="48" spans="1:13" x14ac:dyDescent="0.2">
      <c r="B48" s="17"/>
      <c r="C48" s="17"/>
      <c r="D48" s="22"/>
      <c r="E48"/>
      <c r="F48"/>
      <c r="G48"/>
      <c r="H48"/>
      <c r="I48"/>
      <c r="J48"/>
      <c r="K48"/>
      <c r="L48" s="17"/>
      <c r="M48" s="22"/>
    </row>
    <row r="49" spans="2:13" x14ac:dyDescent="0.2">
      <c r="B49" s="17"/>
      <c r="C49" s="18" t="s">
        <v>106</v>
      </c>
      <c r="D49" s="22" t="s">
        <v>4</v>
      </c>
      <c r="E49" s="77">
        <f>-E96/E90</f>
        <v>1.15E-2</v>
      </c>
      <c r="F49" s="52">
        <v>1.1599999999999999E-2</v>
      </c>
      <c r="G49" s="52">
        <v>1.18E-2</v>
      </c>
      <c r="H49" s="52">
        <v>1.1900000000000001E-2</v>
      </c>
      <c r="I49" s="52">
        <v>1.2E-2</v>
      </c>
      <c r="J49" s="52">
        <v>1.2E-2</v>
      </c>
      <c r="K49" s="52">
        <v>1.2E-2</v>
      </c>
      <c r="L49" s="17"/>
      <c r="M49" s="22"/>
    </row>
    <row r="50" spans="2:13" x14ac:dyDescent="0.2">
      <c r="B50" s="17"/>
      <c r="C50" s="17" t="s">
        <v>107</v>
      </c>
      <c r="D50" s="22" t="s">
        <v>4</v>
      </c>
      <c r="E50" s="77">
        <f>-E97/E90</f>
        <v>4.1999999999999997E-3</v>
      </c>
      <c r="F50" s="52">
        <v>4.1999999999999997E-3</v>
      </c>
      <c r="G50" s="52">
        <v>4.1000000000000003E-3</v>
      </c>
      <c r="H50" s="52">
        <v>3.8999999999999998E-3</v>
      </c>
      <c r="I50" s="52">
        <v>3.7000000000000002E-3</v>
      </c>
      <c r="J50" s="52">
        <v>3.5000000000000001E-3</v>
      </c>
      <c r="K50" s="52">
        <v>3.3E-3</v>
      </c>
      <c r="L50" s="17"/>
      <c r="M50" s="22" t="s">
        <v>205</v>
      </c>
    </row>
    <row r="51" spans="2:13" x14ac:dyDescent="0.2">
      <c r="B51" s="17"/>
      <c r="C51" s="17" t="s">
        <v>108</v>
      </c>
      <c r="D51" s="22" t="s">
        <v>61</v>
      </c>
      <c r="E51" s="10">
        <v>0</v>
      </c>
      <c r="F51" s="10">
        <v>0</v>
      </c>
      <c r="G51" s="10">
        <v>0</v>
      </c>
      <c r="H51" s="10">
        <v>0</v>
      </c>
      <c r="I51" s="10">
        <v>0</v>
      </c>
      <c r="J51" s="10">
        <v>0</v>
      </c>
      <c r="K51" s="10">
        <v>0</v>
      </c>
      <c r="L51" s="17"/>
      <c r="M51" s="22"/>
    </row>
    <row r="52" spans="2:13" x14ac:dyDescent="0.2">
      <c r="B52" s="17"/>
      <c r="C52" s="17" t="s">
        <v>109</v>
      </c>
      <c r="D52" s="22" t="s">
        <v>61</v>
      </c>
      <c r="E52" s="10">
        <v>0</v>
      </c>
      <c r="F52" s="10">
        <v>0</v>
      </c>
      <c r="G52" s="10">
        <v>0</v>
      </c>
      <c r="H52" s="10">
        <v>0</v>
      </c>
      <c r="I52" s="10">
        <v>0</v>
      </c>
      <c r="J52" s="10">
        <v>0</v>
      </c>
      <c r="K52" s="10">
        <v>0</v>
      </c>
      <c r="L52" s="17"/>
      <c r="M52" s="22"/>
    </row>
    <row r="53" spans="2:13" x14ac:dyDescent="0.2">
      <c r="B53" s="17"/>
      <c r="C53" s="17" t="s">
        <v>110</v>
      </c>
      <c r="D53" s="22" t="s">
        <v>61</v>
      </c>
      <c r="E53" s="10">
        <v>0</v>
      </c>
      <c r="F53" s="10">
        <v>0</v>
      </c>
      <c r="G53" s="10">
        <v>0</v>
      </c>
      <c r="H53" s="10">
        <v>0</v>
      </c>
      <c r="I53" s="10">
        <v>0</v>
      </c>
      <c r="J53" s="10">
        <v>0</v>
      </c>
      <c r="K53" s="10">
        <v>0</v>
      </c>
      <c r="L53" s="17"/>
      <c r="M53" s="22"/>
    </row>
    <row r="54" spans="2:13" x14ac:dyDescent="0.2">
      <c r="B54" s="17"/>
      <c r="C54" s="17"/>
      <c r="D54" s="22"/>
      <c r="E54"/>
      <c r="F54"/>
      <c r="G54"/>
      <c r="H54"/>
      <c r="I54"/>
      <c r="J54"/>
      <c r="K54"/>
      <c r="L54" s="17"/>
      <c r="M54" s="22"/>
    </row>
    <row r="55" spans="2:13" x14ac:dyDescent="0.2">
      <c r="B55" s="17"/>
      <c r="C55" s="17" t="s">
        <v>111</v>
      </c>
      <c r="D55" s="22" t="s">
        <v>4</v>
      </c>
      <c r="E55" s="76">
        <f>E117/E90</f>
        <v>0.128</v>
      </c>
      <c r="F55" s="48">
        <v>0.128</v>
      </c>
      <c r="G55" s="48">
        <v>0.128</v>
      </c>
      <c r="H55" s="48">
        <v>0.128</v>
      </c>
      <c r="I55" s="48">
        <v>0.128</v>
      </c>
      <c r="J55" s="48">
        <v>0.128</v>
      </c>
      <c r="K55" s="48">
        <v>0.128</v>
      </c>
      <c r="L55" s="17"/>
      <c r="M55" s="22"/>
    </row>
    <row r="56" spans="2:13" x14ac:dyDescent="0.2">
      <c r="B56" s="17"/>
      <c r="C56" s="17" t="s">
        <v>112</v>
      </c>
      <c r="D56" s="22" t="s">
        <v>4</v>
      </c>
      <c r="E56" s="76">
        <f>-E118/E91</f>
        <v>0.20499999999999999</v>
      </c>
      <c r="F56" s="48">
        <v>0.20499999999999999</v>
      </c>
      <c r="G56" s="48">
        <v>0.20300000000000001</v>
      </c>
      <c r="H56" s="48">
        <v>0.20250000000000001</v>
      </c>
      <c r="I56" s="48">
        <v>0.20100000000000001</v>
      </c>
      <c r="J56" s="48">
        <v>0.2</v>
      </c>
      <c r="K56" s="48">
        <v>0.2</v>
      </c>
      <c r="L56" s="17"/>
      <c r="M56" s="22"/>
    </row>
    <row r="57" spans="2:13" x14ac:dyDescent="0.2">
      <c r="B57" s="17"/>
      <c r="C57" s="17" t="s">
        <v>113</v>
      </c>
      <c r="D57" s="22" t="s">
        <v>4</v>
      </c>
      <c r="E57" s="76">
        <f>-E122/E95</f>
        <v>0.2331</v>
      </c>
      <c r="F57" s="48">
        <v>0.2331</v>
      </c>
      <c r="G57" s="48">
        <v>0.2331</v>
      </c>
      <c r="H57" s="48">
        <v>0.2331</v>
      </c>
      <c r="I57" s="48">
        <v>0.2331</v>
      </c>
      <c r="J57" s="48">
        <v>0.2331</v>
      </c>
      <c r="K57" s="48">
        <v>0.2331</v>
      </c>
      <c r="L57" s="17"/>
      <c r="M57" s="22" t="s">
        <v>235</v>
      </c>
    </row>
    <row r="58" spans="2:13" x14ac:dyDescent="0.2">
      <c r="B58" s="17"/>
      <c r="C58" s="17" t="s">
        <v>114</v>
      </c>
      <c r="D58" s="22" t="s">
        <v>4</v>
      </c>
      <c r="E58" s="76">
        <f>-E131/E91</f>
        <v>0.13600000000000001</v>
      </c>
      <c r="F58" s="48">
        <v>0.13600000000000001</v>
      </c>
      <c r="G58" s="48">
        <v>0.13700000000000001</v>
      </c>
      <c r="H58" s="48">
        <v>0.13800000000000001</v>
      </c>
      <c r="I58" s="48">
        <v>0.13800000000000001</v>
      </c>
      <c r="J58" s="48">
        <v>0.13900000000000001</v>
      </c>
      <c r="K58" s="48">
        <v>0.13900000000000001</v>
      </c>
      <c r="L58" s="17"/>
      <c r="M58" s="22"/>
    </row>
    <row r="59" spans="2:13" x14ac:dyDescent="0.2">
      <c r="B59" s="17"/>
      <c r="C59" s="17" t="s">
        <v>115</v>
      </c>
      <c r="D59" s="22" t="s">
        <v>4</v>
      </c>
      <c r="E59" s="76">
        <f>-E132/E95</f>
        <v>0.27</v>
      </c>
      <c r="F59" s="48">
        <v>0.27</v>
      </c>
      <c r="G59" s="48">
        <v>0.27</v>
      </c>
      <c r="H59" s="48">
        <v>0.27</v>
      </c>
      <c r="I59" s="48">
        <v>0.27</v>
      </c>
      <c r="J59" s="48">
        <v>0.27</v>
      </c>
      <c r="K59" s="48">
        <v>0.27</v>
      </c>
      <c r="L59" s="17"/>
      <c r="M59" s="22"/>
    </row>
    <row r="60" spans="2:13" x14ac:dyDescent="0.2">
      <c r="B60" s="17"/>
      <c r="C60" s="17"/>
      <c r="D60" s="22"/>
      <c r="E60" s="99"/>
      <c r="F60"/>
      <c r="G60"/>
      <c r="H60"/>
      <c r="I60"/>
      <c r="J60"/>
      <c r="K60"/>
      <c r="L60" s="17"/>
      <c r="M60" s="22"/>
    </row>
    <row r="61" spans="2:13" x14ac:dyDescent="0.2">
      <c r="B61" s="17"/>
      <c r="C61" s="17" t="s">
        <v>116</v>
      </c>
      <c r="D61" s="22" t="s">
        <v>4</v>
      </c>
      <c r="E61" s="77">
        <f>E156/E90</f>
        <v>2.8000000000000004E-3</v>
      </c>
      <c r="F61" s="52">
        <v>2.8E-3</v>
      </c>
      <c r="G61" s="52">
        <v>2.8E-3</v>
      </c>
      <c r="H61" s="52">
        <v>2.8E-3</v>
      </c>
      <c r="I61" s="52">
        <v>2.8E-3</v>
      </c>
      <c r="J61" s="52">
        <v>2.8E-3</v>
      </c>
      <c r="K61" s="52">
        <v>2.8E-3</v>
      </c>
      <c r="L61" s="17"/>
      <c r="M61" s="22"/>
    </row>
    <row r="62" spans="2:13" x14ac:dyDescent="0.2">
      <c r="B62" s="17"/>
      <c r="C62" s="17" t="s">
        <v>117</v>
      </c>
      <c r="D62" s="22" t="s">
        <v>4</v>
      </c>
      <c r="E62" s="76">
        <f>-E157/E107</f>
        <v>0.12000000000000001</v>
      </c>
      <c r="F62" s="48">
        <v>0.12</v>
      </c>
      <c r="G62" s="48">
        <v>0.1</v>
      </c>
      <c r="H62" s="48">
        <v>0.08</v>
      </c>
      <c r="I62" s="48">
        <v>0.06</v>
      </c>
      <c r="J62" s="48">
        <v>0.05</v>
      </c>
      <c r="K62" s="48">
        <v>0.05</v>
      </c>
      <c r="L62" s="17"/>
      <c r="M62" s="22"/>
    </row>
    <row r="63" spans="2:13" x14ac:dyDescent="0.2">
      <c r="B63" s="17"/>
      <c r="C63" s="17" t="s">
        <v>41</v>
      </c>
      <c r="D63" s="22" t="s">
        <v>61</v>
      </c>
      <c r="E63" s="100">
        <f>E158</f>
        <v>-6</v>
      </c>
      <c r="F63" s="10">
        <v>0</v>
      </c>
      <c r="G63" s="10">
        <v>0</v>
      </c>
      <c r="H63" s="10">
        <v>0</v>
      </c>
      <c r="I63" s="10">
        <v>0</v>
      </c>
      <c r="J63" s="10">
        <v>0</v>
      </c>
      <c r="K63" s="10">
        <v>0</v>
      </c>
      <c r="L63" s="17"/>
      <c r="M63" s="22"/>
    </row>
    <row r="64" spans="2:13" x14ac:dyDescent="0.2">
      <c r="B64" s="17"/>
      <c r="C64" s="17"/>
      <c r="D64" s="22"/>
      <c r="E64" s="99"/>
      <c r="F64"/>
      <c r="G64"/>
      <c r="H64"/>
      <c r="I64"/>
      <c r="J64"/>
      <c r="K64"/>
      <c r="L64" s="17"/>
      <c r="M64" s="22"/>
    </row>
    <row r="65" spans="2:13" x14ac:dyDescent="0.2">
      <c r="B65" s="17"/>
      <c r="C65" s="17" t="s">
        <v>118</v>
      </c>
      <c r="D65" s="22" t="s">
        <v>4</v>
      </c>
      <c r="E65" s="76">
        <f>-E169/E90</f>
        <v>1.2999999999999999E-2</v>
      </c>
      <c r="F65" s="48">
        <v>1.2999999999999999E-2</v>
      </c>
      <c r="G65" s="48">
        <v>1.35E-2</v>
      </c>
      <c r="H65" s="48">
        <v>1.35E-2</v>
      </c>
      <c r="I65" s="48">
        <v>1.2999999999999999E-2</v>
      </c>
      <c r="J65" s="48">
        <v>1.2999999999999999E-2</v>
      </c>
      <c r="K65" s="48">
        <v>1.2500000000000001E-2</v>
      </c>
      <c r="L65" s="17"/>
      <c r="M65" s="22"/>
    </row>
    <row r="66" spans="2:13" x14ac:dyDescent="0.2">
      <c r="B66" s="17"/>
      <c r="C66" s="17" t="s">
        <v>119</v>
      </c>
      <c r="D66" s="22" t="s">
        <v>61</v>
      </c>
      <c r="E66" s="100">
        <f>E170</f>
        <v>4</v>
      </c>
      <c r="F66" s="10">
        <v>4</v>
      </c>
      <c r="G66" s="10">
        <v>4</v>
      </c>
      <c r="H66" s="10">
        <v>4</v>
      </c>
      <c r="I66" s="10">
        <v>4</v>
      </c>
      <c r="J66" s="10">
        <v>4</v>
      </c>
      <c r="K66" s="10">
        <v>4</v>
      </c>
      <c r="L66" s="17"/>
      <c r="M66" s="22"/>
    </row>
    <row r="67" spans="2:13" x14ac:dyDescent="0.2">
      <c r="B67" s="17"/>
      <c r="C67" s="17" t="s">
        <v>120</v>
      </c>
      <c r="D67" s="22" t="s">
        <v>61</v>
      </c>
      <c r="E67" s="100">
        <f>-E171</f>
        <v>64.900000000000006</v>
      </c>
      <c r="F67" s="10">
        <v>0</v>
      </c>
      <c r="G67" s="10">
        <v>0</v>
      </c>
      <c r="H67" s="10">
        <v>0</v>
      </c>
      <c r="I67" s="10">
        <v>0</v>
      </c>
      <c r="J67" s="10">
        <v>0</v>
      </c>
      <c r="K67" s="10">
        <v>0</v>
      </c>
      <c r="L67" s="17"/>
      <c r="M67" s="22" t="s">
        <v>208</v>
      </c>
    </row>
    <row r="68" spans="2:13" x14ac:dyDescent="0.2">
      <c r="B68" s="17"/>
      <c r="C68" s="17"/>
      <c r="D68" s="22"/>
      <c r="E68" s="99"/>
      <c r="F68"/>
      <c r="G68"/>
      <c r="H68"/>
      <c r="I68"/>
      <c r="J68"/>
      <c r="K68"/>
      <c r="L68" s="17"/>
      <c r="M68" s="22"/>
    </row>
    <row r="69" spans="2:13" x14ac:dyDescent="0.2">
      <c r="B69" s="17"/>
      <c r="C69" s="17" t="s">
        <v>121</v>
      </c>
      <c r="D69" s="22" t="s">
        <v>61</v>
      </c>
      <c r="E69" s="100">
        <f>E174</f>
        <v>450</v>
      </c>
      <c r="F69" s="10">
        <v>0</v>
      </c>
      <c r="G69" s="10">
        <v>0</v>
      </c>
      <c r="H69" s="10">
        <v>0</v>
      </c>
      <c r="I69" s="10">
        <v>0</v>
      </c>
      <c r="J69" s="10">
        <v>0</v>
      </c>
      <c r="K69" s="10">
        <v>0</v>
      </c>
      <c r="L69" s="17"/>
      <c r="M69" s="22" t="s">
        <v>209</v>
      </c>
    </row>
    <row r="70" spans="2:13" x14ac:dyDescent="0.2">
      <c r="B70" s="17"/>
      <c r="C70" s="17" t="s">
        <v>122</v>
      </c>
      <c r="D70" s="22" t="s">
        <v>61</v>
      </c>
      <c r="E70" s="10">
        <v>420</v>
      </c>
      <c r="F70" s="10">
        <v>120</v>
      </c>
      <c r="G70" s="10">
        <v>130</v>
      </c>
      <c r="H70" s="10">
        <v>140</v>
      </c>
      <c r="I70" s="10">
        <v>150</v>
      </c>
      <c r="J70" s="10">
        <v>160</v>
      </c>
      <c r="K70" s="10">
        <v>170</v>
      </c>
      <c r="L70" s="17"/>
      <c r="M70" s="22" t="s">
        <v>210</v>
      </c>
    </row>
    <row r="71" spans="2:13" x14ac:dyDescent="0.2">
      <c r="B71" s="17"/>
      <c r="C71" s="17" t="s">
        <v>123</v>
      </c>
      <c r="D71" s="22" t="s">
        <v>61</v>
      </c>
      <c r="E71" s="100">
        <f>-E176</f>
        <v>95</v>
      </c>
      <c r="F71" s="10">
        <v>0</v>
      </c>
      <c r="G71" s="10">
        <v>0</v>
      </c>
      <c r="H71" s="10">
        <v>0</v>
      </c>
      <c r="I71" s="10">
        <v>0</v>
      </c>
      <c r="J71" s="10">
        <v>0</v>
      </c>
      <c r="K71" s="10">
        <v>0</v>
      </c>
      <c r="L71" s="17"/>
      <c r="M71" s="22" t="s">
        <v>211</v>
      </c>
    </row>
    <row r="72" spans="2:13" x14ac:dyDescent="0.2">
      <c r="B72" s="17"/>
      <c r="C72" s="17" t="s">
        <v>124</v>
      </c>
      <c r="D72" s="22" t="s">
        <v>61</v>
      </c>
      <c r="E72" s="100">
        <f>-E177</f>
        <v>0</v>
      </c>
      <c r="F72" s="10">
        <v>85</v>
      </c>
      <c r="G72" s="10">
        <v>95</v>
      </c>
      <c r="H72" s="10">
        <v>105</v>
      </c>
      <c r="I72" s="10">
        <v>115</v>
      </c>
      <c r="J72" s="10">
        <v>125</v>
      </c>
      <c r="K72" s="10">
        <v>135</v>
      </c>
      <c r="L72" s="17"/>
      <c r="M72" s="22" t="s">
        <v>212</v>
      </c>
    </row>
    <row r="73" spans="2:13" x14ac:dyDescent="0.2">
      <c r="B73" s="17"/>
      <c r="C73" s="17" t="s">
        <v>125</v>
      </c>
      <c r="D73" s="22" t="s">
        <v>61</v>
      </c>
      <c r="E73" s="100">
        <f>-E178</f>
        <v>9</v>
      </c>
      <c r="F73" s="10">
        <v>0</v>
      </c>
      <c r="G73" s="10">
        <v>0</v>
      </c>
      <c r="H73" s="10">
        <v>0</v>
      </c>
      <c r="I73" s="10">
        <v>0</v>
      </c>
      <c r="J73" s="10">
        <v>0</v>
      </c>
      <c r="K73" s="10">
        <v>0</v>
      </c>
      <c r="L73" s="17"/>
      <c r="M73" s="22"/>
    </row>
    <row r="74" spans="2:13" x14ac:dyDescent="0.2">
      <c r="B74" s="17"/>
      <c r="C74" s="17"/>
      <c r="D74" s="22"/>
      <c r="E74"/>
      <c r="F74"/>
      <c r="G74"/>
      <c r="H74"/>
      <c r="I74"/>
      <c r="J74"/>
      <c r="K74"/>
      <c r="L74" s="17"/>
      <c r="M74" s="22"/>
    </row>
    <row r="75" spans="2:13" x14ac:dyDescent="0.2">
      <c r="B75" s="17"/>
      <c r="C75" s="17" t="s">
        <v>126</v>
      </c>
      <c r="D75" s="22" t="s">
        <v>4</v>
      </c>
      <c r="E75" s="52">
        <v>5.7500000000000002E-2</v>
      </c>
      <c r="F75" s="52">
        <v>5.7500000000000002E-2</v>
      </c>
      <c r="G75" s="52">
        <v>5.7500000000000002E-2</v>
      </c>
      <c r="H75" s="52">
        <v>5.7500000000000002E-2</v>
      </c>
      <c r="I75" s="52">
        <v>5.7500000000000002E-2</v>
      </c>
      <c r="J75" s="52">
        <v>5.7500000000000002E-2</v>
      </c>
      <c r="K75" s="52">
        <v>5.7500000000000002E-2</v>
      </c>
      <c r="L75" s="17"/>
      <c r="M75" s="22" t="s">
        <v>217</v>
      </c>
    </row>
    <row r="76" spans="2:13" x14ac:dyDescent="0.2">
      <c r="B76" s="17"/>
      <c r="C76" s="17" t="s">
        <v>127</v>
      </c>
      <c r="D76" s="22" t="s">
        <v>61</v>
      </c>
      <c r="E76" s="10">
        <v>1624.5</v>
      </c>
      <c r="F76" s="9">
        <v>1650</v>
      </c>
      <c r="G76" s="9">
        <v>1534.2</v>
      </c>
      <c r="H76" s="9">
        <v>1408.1000000000001</v>
      </c>
      <c r="I76" s="9">
        <v>1271.7</v>
      </c>
      <c r="J76" s="9">
        <v>1125</v>
      </c>
      <c r="K76" s="9">
        <v>968</v>
      </c>
      <c r="L76" s="17"/>
      <c r="M76" s="22"/>
    </row>
    <row r="77" spans="2:13" x14ac:dyDescent="0.2">
      <c r="B77" s="17"/>
      <c r="C77" s="17" t="s">
        <v>128</v>
      </c>
      <c r="D77" s="22" t="s">
        <v>4</v>
      </c>
      <c r="E77" s="52">
        <v>3.5000000000000003E-2</v>
      </c>
      <c r="F77" s="52">
        <v>3.5000000000000003E-2</v>
      </c>
      <c r="G77" s="52">
        <v>3.5000000000000003E-2</v>
      </c>
      <c r="H77" s="52">
        <v>3.5000000000000003E-2</v>
      </c>
      <c r="I77" s="52">
        <v>3.5000000000000003E-2</v>
      </c>
      <c r="J77" s="52">
        <v>3.5000000000000003E-2</v>
      </c>
      <c r="K77" s="52">
        <v>3.5000000000000003E-2</v>
      </c>
      <c r="L77" s="17"/>
      <c r="M77" s="22"/>
    </row>
    <row r="78" spans="2:13" x14ac:dyDescent="0.2">
      <c r="B78" s="17"/>
      <c r="C78" s="17" t="s">
        <v>129</v>
      </c>
      <c r="D78" s="22" t="s">
        <v>61</v>
      </c>
      <c r="E78" s="100">
        <f>E154</f>
        <v>4.5</v>
      </c>
      <c r="F78" s="10">
        <v>4.2</v>
      </c>
      <c r="G78" s="10">
        <v>3.9</v>
      </c>
      <c r="H78" s="10">
        <v>3.6</v>
      </c>
      <c r="I78" s="10">
        <v>3.3</v>
      </c>
      <c r="J78" s="10">
        <v>3</v>
      </c>
      <c r="K78" s="10">
        <v>2.7</v>
      </c>
      <c r="L78" s="17"/>
      <c r="M78" s="22"/>
    </row>
    <row r="79" spans="2:13" x14ac:dyDescent="0.2">
      <c r="B79" s="17"/>
      <c r="C79" s="17"/>
      <c r="D79" s="18"/>
      <c r="E79" s="17"/>
      <c r="F79" s="17"/>
      <c r="G79" s="17"/>
      <c r="H79" s="17"/>
      <c r="I79" s="17"/>
      <c r="J79" s="17"/>
      <c r="K79" s="17"/>
      <c r="L79" s="17"/>
      <c r="M79" s="22"/>
    </row>
    <row r="80" spans="2:13" x14ac:dyDescent="0.2">
      <c r="B80" s="17"/>
      <c r="C80" s="17"/>
      <c r="D80" s="18"/>
      <c r="E80" s="17"/>
      <c r="F80" s="17"/>
      <c r="G80" s="17"/>
      <c r="H80" s="17"/>
      <c r="I80" s="17"/>
      <c r="J80" s="17"/>
      <c r="K80" s="17"/>
      <c r="L80" s="17"/>
      <c r="M80" s="22"/>
    </row>
    <row r="81" spans="2:13" x14ac:dyDescent="0.2">
      <c r="B81" s="36" t="s">
        <v>93</v>
      </c>
      <c r="C81" s="30"/>
      <c r="D81" s="72"/>
      <c r="E81" s="35"/>
      <c r="F81" s="40"/>
      <c r="G81" s="32" t="s">
        <v>12</v>
      </c>
      <c r="H81" s="32"/>
      <c r="I81" s="32"/>
      <c r="J81" s="32"/>
      <c r="K81" s="32"/>
      <c r="L81" s="17"/>
      <c r="M81" s="22"/>
    </row>
    <row r="82" spans="2:13" x14ac:dyDescent="0.2">
      <c r="B82" s="36"/>
      <c r="C82" s="30"/>
      <c r="D82" s="72"/>
      <c r="E82" s="33">
        <f>Merger_Model!$E$89</f>
        <v>45657</v>
      </c>
      <c r="F82" s="39">
        <f>Merger_Model!$F$89</f>
        <v>46022</v>
      </c>
      <c r="G82" s="39">
        <f>Merger_Model!$G$89</f>
        <v>46387</v>
      </c>
      <c r="H82" s="39">
        <f>Merger_Model!$H$89</f>
        <v>46752</v>
      </c>
      <c r="I82" s="39">
        <f>Merger_Model!$I$89</f>
        <v>47118</v>
      </c>
      <c r="J82" s="39">
        <f>Merger_Model!$J$89</f>
        <v>47483</v>
      </c>
      <c r="K82" s="39">
        <f>Merger_Model!$K$89</f>
        <v>47848</v>
      </c>
      <c r="L82" s="17"/>
      <c r="M82" s="22"/>
    </row>
    <row r="83" spans="2:13" ht="17" customHeight="1" x14ac:dyDescent="0.2">
      <c r="B83" s="17"/>
      <c r="C83" s="17"/>
      <c r="D83" s="18"/>
      <c r="E83" s="17"/>
      <c r="F83" s="17"/>
      <c r="G83" s="17"/>
      <c r="H83" s="17"/>
      <c r="I83" s="17"/>
      <c r="J83" s="17"/>
      <c r="K83" s="17"/>
      <c r="L83" s="17"/>
      <c r="M83" s="22"/>
    </row>
    <row r="84" spans="2:13" x14ac:dyDescent="0.2">
      <c r="B84" s="17"/>
      <c r="C84" s="13" t="s">
        <v>6</v>
      </c>
      <c r="D84" s="71"/>
      <c r="E84" s="98"/>
      <c r="F84" s="22"/>
      <c r="G84" s="22"/>
      <c r="H84" s="22"/>
      <c r="I84" s="22"/>
      <c r="J84" s="22"/>
      <c r="K84" s="22"/>
      <c r="L84" s="17"/>
      <c r="M84" s="22"/>
    </row>
    <row r="85" spans="2:13" x14ac:dyDescent="0.2">
      <c r="B85" s="17"/>
      <c r="C85" s="14" t="s">
        <v>71</v>
      </c>
      <c r="D85" s="22" t="s">
        <v>5</v>
      </c>
      <c r="E85" s="10">
        <v>2180</v>
      </c>
      <c r="F85" s="43">
        <f>E85*(1+F36)</f>
        <v>2245.4</v>
      </c>
      <c r="G85" s="43">
        <f t="shared" ref="G85:K85" si="2">F85*(1+G36)</f>
        <v>2323.989</v>
      </c>
      <c r="H85" s="43">
        <f t="shared" si="2"/>
        <v>2400.6806369999999</v>
      </c>
      <c r="I85" s="43">
        <f t="shared" si="2"/>
        <v>2472.7010561100001</v>
      </c>
      <c r="J85" s="43">
        <f t="shared" si="2"/>
        <v>2541.9366856810802</v>
      </c>
      <c r="K85" s="43">
        <f t="shared" si="2"/>
        <v>2605.4851028231069</v>
      </c>
      <c r="L85" s="17"/>
      <c r="M85" s="22"/>
    </row>
    <row r="86" spans="2:13" x14ac:dyDescent="0.2">
      <c r="B86" s="17"/>
      <c r="C86" s="14" t="s">
        <v>72</v>
      </c>
      <c r="D86" s="22" t="s">
        <v>5</v>
      </c>
      <c r="E86" s="10">
        <v>1395</v>
      </c>
      <c r="F86" s="43">
        <f t="shared" ref="F86:K86" si="3">E86*(1+F37)</f>
        <v>1471.7249999999999</v>
      </c>
      <c r="G86" s="43">
        <f t="shared" si="3"/>
        <v>1560.0284999999999</v>
      </c>
      <c r="H86" s="43">
        <f t="shared" si="3"/>
        <v>1645.8300674999998</v>
      </c>
      <c r="I86" s="43">
        <f t="shared" si="3"/>
        <v>1728.1215708749999</v>
      </c>
      <c r="J86" s="43">
        <f t="shared" si="3"/>
        <v>1805.8870415643748</v>
      </c>
      <c r="K86" s="43">
        <f t="shared" si="3"/>
        <v>1878.1225232269499</v>
      </c>
      <c r="L86" s="17"/>
      <c r="M86" s="22"/>
    </row>
    <row r="87" spans="2:13" x14ac:dyDescent="0.2">
      <c r="B87" s="17"/>
      <c r="C87" s="14" t="s">
        <v>73</v>
      </c>
      <c r="D87" s="22" t="s">
        <v>5</v>
      </c>
      <c r="E87" s="10">
        <v>1120</v>
      </c>
      <c r="F87" s="43">
        <f t="shared" ref="F87:K87" si="4">E87*(1+F38)</f>
        <v>1159.1999999999998</v>
      </c>
      <c r="G87" s="43">
        <f t="shared" si="4"/>
        <v>1211.3639999999998</v>
      </c>
      <c r="H87" s="43">
        <f t="shared" si="4"/>
        <v>1262.2412879999999</v>
      </c>
      <c r="I87" s="43">
        <f t="shared" si="4"/>
        <v>1310.2064569439999</v>
      </c>
      <c r="J87" s="43">
        <f t="shared" si="4"/>
        <v>1356.0636829370399</v>
      </c>
      <c r="K87" s="43">
        <f t="shared" si="4"/>
        <v>1396.7455934251511</v>
      </c>
      <c r="L87" s="17"/>
      <c r="M87" s="22"/>
    </row>
    <row r="88" spans="2:13" x14ac:dyDescent="0.2">
      <c r="B88" s="17"/>
      <c r="C88" s="14" t="s">
        <v>74</v>
      </c>
      <c r="D88" s="22" t="s">
        <v>5</v>
      </c>
      <c r="E88" s="10">
        <v>880</v>
      </c>
      <c r="F88" s="43">
        <f t="shared" ref="F88:K88" si="5">E88*(1+F39)</f>
        <v>919.59999999999991</v>
      </c>
      <c r="G88" s="43">
        <f t="shared" si="5"/>
        <v>965.57999999999993</v>
      </c>
      <c r="H88" s="43">
        <f t="shared" si="5"/>
        <v>1011.9278399999999</v>
      </c>
      <c r="I88" s="43">
        <f t="shared" si="5"/>
        <v>1057.4645927999998</v>
      </c>
      <c r="J88" s="43">
        <f t="shared" si="5"/>
        <v>1099.7631765119997</v>
      </c>
      <c r="K88" s="43">
        <f t="shared" si="5"/>
        <v>1138.2548876899195</v>
      </c>
      <c r="L88" s="17"/>
      <c r="M88" s="22"/>
    </row>
    <row r="89" spans="2:13" x14ac:dyDescent="0.2">
      <c r="B89" s="17"/>
      <c r="C89" s="14" t="s">
        <v>75</v>
      </c>
      <c r="D89" s="22" t="s">
        <v>5</v>
      </c>
      <c r="E89" s="10">
        <v>610</v>
      </c>
      <c r="F89" s="43">
        <f t="shared" ref="F89:K89" si="6">E89*(1+F40)</f>
        <v>649.65</v>
      </c>
      <c r="G89" s="43">
        <f t="shared" si="6"/>
        <v>695.12549999999999</v>
      </c>
      <c r="H89" s="43">
        <f t="shared" si="6"/>
        <v>740.30865749999998</v>
      </c>
      <c r="I89" s="43">
        <f t="shared" si="6"/>
        <v>784.72717695000006</v>
      </c>
      <c r="J89" s="43">
        <f t="shared" si="6"/>
        <v>823.96353579750007</v>
      </c>
      <c r="K89" s="43">
        <f t="shared" si="6"/>
        <v>861.04189490838746</v>
      </c>
      <c r="L89" s="17"/>
      <c r="M89" s="22"/>
    </row>
    <row r="90" spans="2:13" x14ac:dyDescent="0.2">
      <c r="B90" s="17"/>
      <c r="C90" s="5" t="s">
        <v>76</v>
      </c>
      <c r="D90" s="22" t="s">
        <v>5</v>
      </c>
      <c r="E90" s="44">
        <f>SUM(E85:E89)</f>
        <v>6185</v>
      </c>
      <c r="F90" s="44">
        <f t="shared" ref="F90:K90" si="7">SUM(F85:F89)</f>
        <v>6445.5749999999989</v>
      </c>
      <c r="G90" s="44">
        <f t="shared" si="7"/>
        <v>6756.0869999999995</v>
      </c>
      <c r="H90" s="44">
        <f t="shared" si="7"/>
        <v>7060.9884899999997</v>
      </c>
      <c r="I90" s="44">
        <f t="shared" si="7"/>
        <v>7353.2208536790004</v>
      </c>
      <c r="J90" s="44">
        <f t="shared" si="7"/>
        <v>7627.6141224919947</v>
      </c>
      <c r="K90" s="44">
        <f t="shared" si="7"/>
        <v>7879.6500020735157</v>
      </c>
      <c r="L90" s="17"/>
      <c r="M90" s="22"/>
    </row>
    <row r="91" spans="2:13" x14ac:dyDescent="0.2">
      <c r="B91" s="17"/>
      <c r="C91" s="8" t="s">
        <v>77</v>
      </c>
      <c r="D91" s="22" t="s">
        <v>5</v>
      </c>
      <c r="E91" s="10">
        <v>-4545.9750000000004</v>
      </c>
      <c r="F91" s="41">
        <f t="shared" ref="F91:K91" si="8">-F90*F42</f>
        <v>-4731.0520499999993</v>
      </c>
      <c r="G91" s="41">
        <f t="shared" si="8"/>
        <v>-4945.4556839999996</v>
      </c>
      <c r="H91" s="41">
        <f t="shared" si="8"/>
        <v>-5154.5215976999998</v>
      </c>
      <c r="I91" s="41">
        <f t="shared" si="8"/>
        <v>-5360.4980023319913</v>
      </c>
      <c r="J91" s="41">
        <f t="shared" si="8"/>
        <v>-5552.9030811741723</v>
      </c>
      <c r="K91" s="41">
        <f t="shared" si="8"/>
        <v>-5736.385201509519</v>
      </c>
      <c r="L91" s="17"/>
      <c r="M91" s="22"/>
    </row>
    <row r="92" spans="2:13" x14ac:dyDescent="0.2">
      <c r="B92" s="17"/>
      <c r="C92" s="5" t="s">
        <v>78</v>
      </c>
      <c r="D92" s="22" t="s">
        <v>5</v>
      </c>
      <c r="E92" s="55">
        <f>SUM(E90:E91)</f>
        <v>1639.0249999999996</v>
      </c>
      <c r="F92" s="55">
        <f t="shared" ref="F92:K92" si="9">SUM(F90:F91)</f>
        <v>1714.5229499999996</v>
      </c>
      <c r="G92" s="55">
        <f t="shared" si="9"/>
        <v>1810.631316</v>
      </c>
      <c r="H92" s="55">
        <f t="shared" si="9"/>
        <v>1906.4668922999999</v>
      </c>
      <c r="I92" s="55">
        <f t="shared" si="9"/>
        <v>1992.7228513470091</v>
      </c>
      <c r="J92" s="55">
        <f t="shared" si="9"/>
        <v>2074.7110413178225</v>
      </c>
      <c r="K92" s="55">
        <f t="shared" si="9"/>
        <v>2143.2648005639967</v>
      </c>
      <c r="L92" s="17"/>
      <c r="M92" s="22"/>
    </row>
    <row r="93" spans="2:13" ht="17" customHeight="1" x14ac:dyDescent="0.2">
      <c r="B93" s="17"/>
      <c r="C93" s="17"/>
      <c r="D93" s="22"/>
      <c r="F93" s="43"/>
      <c r="G93" s="43"/>
      <c r="H93" s="43"/>
      <c r="I93" s="43"/>
      <c r="J93" s="43"/>
      <c r="K93" s="43"/>
      <c r="L93" s="17"/>
      <c r="M93" s="22"/>
    </row>
    <row r="94" spans="2:13" ht="17" customHeight="1" x14ac:dyDescent="0.2">
      <c r="B94" s="17"/>
      <c r="C94" s="13" t="s">
        <v>7</v>
      </c>
      <c r="D94" s="22"/>
      <c r="E94" s="42"/>
      <c r="F94" s="43"/>
      <c r="G94" s="43"/>
      <c r="H94" s="43"/>
      <c r="I94" s="43"/>
      <c r="J94" s="43"/>
      <c r="K94" s="43"/>
      <c r="L94" s="17"/>
      <c r="M94" s="22"/>
    </row>
    <row r="95" spans="2:13" ht="17" customHeight="1" x14ac:dyDescent="0.2">
      <c r="B95" s="17"/>
      <c r="C95" s="14" t="s">
        <v>79</v>
      </c>
      <c r="D95" s="22" t="s">
        <v>5</v>
      </c>
      <c r="E95" s="10">
        <v>-1050.9988000000001</v>
      </c>
      <c r="F95" s="43">
        <f>-F44/1000000*F46</f>
        <v>-1078.7170430000001</v>
      </c>
      <c r="G95" s="43">
        <f t="shared" ref="G95:K95" si="10">-G44/1000000*G46</f>
        <v>-1134.6349900700002</v>
      </c>
      <c r="H95" s="43">
        <f t="shared" si="10"/>
        <v>-1188.8933138166003</v>
      </c>
      <c r="I95" s="43">
        <f t="shared" si="10"/>
        <v>-1238.8106575776619</v>
      </c>
      <c r="J95" s="43">
        <f t="shared" si="10"/>
        <v>-1286.3177991709424</v>
      </c>
      <c r="K95" s="43">
        <f t="shared" si="10"/>
        <v>-1327.2363803239714</v>
      </c>
      <c r="L95" s="17"/>
      <c r="M95" s="22"/>
    </row>
    <row r="96" spans="2:13" ht="17" customHeight="1" x14ac:dyDescent="0.2">
      <c r="B96" s="17"/>
      <c r="C96" s="14" t="s">
        <v>80</v>
      </c>
      <c r="D96" s="22" t="s">
        <v>5</v>
      </c>
      <c r="E96" s="10">
        <v>-71.127499999999998</v>
      </c>
      <c r="F96" s="43">
        <f>-F90*F49</f>
        <v>-74.768669999999986</v>
      </c>
      <c r="G96" s="43">
        <f t="shared" ref="G96:K96" si="11">-G90*G49</f>
        <v>-79.721826599999986</v>
      </c>
      <c r="H96" s="43">
        <f t="shared" si="11"/>
        <v>-84.025763030999997</v>
      </c>
      <c r="I96" s="43">
        <f t="shared" si="11"/>
        <v>-88.238650244148005</v>
      </c>
      <c r="J96" s="43">
        <f t="shared" si="11"/>
        <v>-91.531369469903936</v>
      </c>
      <c r="K96" s="43">
        <f t="shared" si="11"/>
        <v>-94.555800024882188</v>
      </c>
      <c r="L96" s="17"/>
      <c r="M96" s="22"/>
    </row>
    <row r="97" spans="2:13" ht="17" customHeight="1" x14ac:dyDescent="0.2">
      <c r="B97" s="17"/>
      <c r="C97" s="14" t="s">
        <v>81</v>
      </c>
      <c r="D97" s="22" t="s">
        <v>5</v>
      </c>
      <c r="E97" s="10">
        <v>-25.976999999999997</v>
      </c>
      <c r="F97" s="43">
        <f>-F90*F50</f>
        <v>-27.071414999999995</v>
      </c>
      <c r="G97" s="43">
        <f t="shared" ref="G97:K97" si="12">-G90*G50</f>
        <v>-27.699956700000001</v>
      </c>
      <c r="H97" s="43">
        <f t="shared" si="12"/>
        <v>-27.537855110999999</v>
      </c>
      <c r="I97" s="43">
        <f t="shared" si="12"/>
        <v>-27.206917158612303</v>
      </c>
      <c r="J97" s="43">
        <f t="shared" si="12"/>
        <v>-26.696649428721983</v>
      </c>
      <c r="K97" s="43">
        <f t="shared" si="12"/>
        <v>-26.002845006842602</v>
      </c>
      <c r="L97" s="17"/>
      <c r="M97" s="22"/>
    </row>
    <row r="98" spans="2:13" ht="17" customHeight="1" x14ac:dyDescent="0.2">
      <c r="B98" s="17"/>
      <c r="C98" s="14" t="s">
        <v>82</v>
      </c>
      <c r="D98" s="22" t="s">
        <v>5</v>
      </c>
      <c r="E98" s="10">
        <v>0</v>
      </c>
      <c r="F98" s="43">
        <f>-F51</f>
        <v>0</v>
      </c>
      <c r="G98" s="43">
        <f t="shared" ref="G98:K98" si="13">-G51</f>
        <v>0</v>
      </c>
      <c r="H98" s="43">
        <f t="shared" si="13"/>
        <v>0</v>
      </c>
      <c r="I98" s="43">
        <f t="shared" si="13"/>
        <v>0</v>
      </c>
      <c r="J98" s="43">
        <f t="shared" si="13"/>
        <v>0</v>
      </c>
      <c r="K98" s="43">
        <f t="shared" si="13"/>
        <v>0</v>
      </c>
      <c r="L98" s="17"/>
      <c r="M98" s="22"/>
    </row>
    <row r="99" spans="2:13" ht="17" customHeight="1" x14ac:dyDescent="0.2">
      <c r="B99" s="17"/>
      <c r="C99" s="14" t="s">
        <v>83</v>
      </c>
      <c r="D99" s="22" t="s">
        <v>5</v>
      </c>
      <c r="E99" s="67">
        <v>0</v>
      </c>
      <c r="F99" s="43">
        <f>-F52</f>
        <v>0</v>
      </c>
      <c r="G99" s="43">
        <f t="shared" ref="G99:K99" si="14">-G52</f>
        <v>0</v>
      </c>
      <c r="H99" s="43">
        <f t="shared" si="14"/>
        <v>0</v>
      </c>
      <c r="I99" s="43">
        <f t="shared" si="14"/>
        <v>0</v>
      </c>
      <c r="J99" s="43">
        <f t="shared" si="14"/>
        <v>0</v>
      </c>
      <c r="K99" s="43">
        <f t="shared" si="14"/>
        <v>0</v>
      </c>
      <c r="L99" s="17"/>
      <c r="M99" s="22"/>
    </row>
    <row r="100" spans="2:13" ht="17" customHeight="1" x14ac:dyDescent="0.2">
      <c r="B100" s="17"/>
      <c r="C100" s="5" t="s">
        <v>84</v>
      </c>
      <c r="D100" s="22" t="s">
        <v>5</v>
      </c>
      <c r="E100" s="55">
        <f>SUM(E95:E99)</f>
        <v>-1148.1033000000002</v>
      </c>
      <c r="F100" s="55">
        <f>SUM(F95:F99)</f>
        <v>-1180.5571279999999</v>
      </c>
      <c r="G100" s="55">
        <f t="shared" ref="G100:K100" si="15">SUM(G95:G99)</f>
        <v>-1242.0567733700002</v>
      </c>
      <c r="H100" s="55">
        <f t="shared" si="15"/>
        <v>-1300.4569319586003</v>
      </c>
      <c r="I100" s="55">
        <f t="shared" si="15"/>
        <v>-1354.2562249804221</v>
      </c>
      <c r="J100" s="55">
        <f t="shared" si="15"/>
        <v>-1404.5458180695682</v>
      </c>
      <c r="K100" s="55">
        <f t="shared" si="15"/>
        <v>-1447.7950253556962</v>
      </c>
      <c r="L100" s="17"/>
      <c r="M100" s="22"/>
    </row>
    <row r="101" spans="2:13" ht="17" customHeight="1" x14ac:dyDescent="0.2">
      <c r="B101" s="17"/>
      <c r="C101" s="17"/>
      <c r="D101" s="22"/>
      <c r="E101" s="10"/>
      <c r="F101" s="43"/>
      <c r="G101" s="43"/>
      <c r="H101" s="43"/>
      <c r="I101" s="43"/>
      <c r="J101" s="43"/>
      <c r="K101" s="43"/>
      <c r="L101" s="17"/>
      <c r="M101" s="22"/>
    </row>
    <row r="102" spans="2:13" ht="17" customHeight="1" x14ac:dyDescent="0.2">
      <c r="B102" s="17"/>
      <c r="C102" s="5" t="s">
        <v>85</v>
      </c>
      <c r="D102" s="22" t="s">
        <v>5</v>
      </c>
      <c r="E102" s="55">
        <f>SUM(E92,E100)</f>
        <v>490.92169999999942</v>
      </c>
      <c r="F102" s="55">
        <f>SUM(F92,F100)</f>
        <v>533.96582199999966</v>
      </c>
      <c r="G102" s="55">
        <f t="shared" ref="G102:K102" si="16">SUM(G92,G100)</f>
        <v>568.57454262999977</v>
      </c>
      <c r="H102" s="55">
        <f t="shared" si="16"/>
        <v>606.00996034139962</v>
      </c>
      <c r="I102" s="55">
        <f t="shared" si="16"/>
        <v>638.46662636658698</v>
      </c>
      <c r="J102" s="55">
        <f t="shared" si="16"/>
        <v>670.16522324825428</v>
      </c>
      <c r="K102" s="55">
        <f t="shared" si="16"/>
        <v>695.46977520830046</v>
      </c>
      <c r="L102" s="17"/>
      <c r="M102" s="22"/>
    </row>
    <row r="103" spans="2:13" ht="17" customHeight="1" x14ac:dyDescent="0.2">
      <c r="B103" s="17"/>
      <c r="C103" s="8" t="s">
        <v>86</v>
      </c>
      <c r="D103" s="22" t="s">
        <v>5</v>
      </c>
      <c r="E103" s="10">
        <v>-98.641874999999999</v>
      </c>
      <c r="F103" s="43">
        <f>-(F75*AVERAGE(F76,F135)+F78)</f>
        <v>-95.745750000000001</v>
      </c>
      <c r="G103" s="43">
        <f t="shared" ref="G103:K103" si="17">-(G75*AVERAGE(G76,G135)+G78)</f>
        <v>-88.491125000000011</v>
      </c>
      <c r="H103" s="43">
        <f t="shared" si="17"/>
        <v>-80.64425</v>
      </c>
      <c r="I103" s="43">
        <f t="shared" si="17"/>
        <v>-72.205124999999995</v>
      </c>
      <c r="J103" s="43">
        <f t="shared" si="17"/>
        <v>-63.173750000000005</v>
      </c>
      <c r="K103" s="43">
        <f t="shared" si="17"/>
        <v>-53.550125000000008</v>
      </c>
      <c r="L103" s="17"/>
      <c r="M103" s="22"/>
    </row>
    <row r="104" spans="2:13" ht="17" customHeight="1" x14ac:dyDescent="0.2">
      <c r="B104" s="17"/>
      <c r="C104" s="8" t="s">
        <v>87</v>
      </c>
      <c r="D104" s="22" t="s">
        <v>5</v>
      </c>
      <c r="E104" s="10">
        <v>2.2750000000000004</v>
      </c>
      <c r="F104" s="43">
        <f>E116*F77</f>
        <v>7.3514821085999822</v>
      </c>
      <c r="G104" s="43">
        <f t="shared" ref="G104:K104" si="18">F116*G77</f>
        <v>12.675754595030215</v>
      </c>
      <c r="H104" s="43">
        <f t="shared" si="18"/>
        <v>18.966993025406524</v>
      </c>
      <c r="I104" s="43">
        <f t="shared" si="18"/>
        <v>25.697873564528681</v>
      </c>
      <c r="J104" s="43">
        <f t="shared" si="18"/>
        <v>33.117287797920667</v>
      </c>
      <c r="K104" s="43">
        <f t="shared" si="18"/>
        <v>41.282059601720064</v>
      </c>
      <c r="L104" s="17"/>
      <c r="M104" s="22" t="s">
        <v>216</v>
      </c>
    </row>
    <row r="105" spans="2:13" ht="17" customHeight="1" x14ac:dyDescent="0.2">
      <c r="B105" s="17"/>
      <c r="C105" s="8" t="s">
        <v>88</v>
      </c>
      <c r="D105" s="22" t="s">
        <v>5</v>
      </c>
      <c r="E105" s="10">
        <v>0</v>
      </c>
      <c r="F105" s="43">
        <f>F53</f>
        <v>0</v>
      </c>
      <c r="G105" s="43">
        <f t="shared" ref="G105:K105" si="19">G53</f>
        <v>0</v>
      </c>
      <c r="H105" s="43">
        <f t="shared" si="19"/>
        <v>0</v>
      </c>
      <c r="I105" s="43">
        <f t="shared" si="19"/>
        <v>0</v>
      </c>
      <c r="J105" s="43">
        <f t="shared" si="19"/>
        <v>0</v>
      </c>
      <c r="K105" s="43">
        <f t="shared" si="19"/>
        <v>0</v>
      </c>
      <c r="L105" s="17"/>
      <c r="M105" s="22"/>
    </row>
    <row r="106" spans="2:13" ht="17" customHeight="1" x14ac:dyDescent="0.2">
      <c r="B106" s="17"/>
      <c r="C106" s="5" t="s">
        <v>34</v>
      </c>
      <c r="D106" s="22" t="s">
        <v>5</v>
      </c>
      <c r="E106" s="78">
        <f>SUM(E102:E105)</f>
        <v>394.55482499999937</v>
      </c>
      <c r="F106" s="78">
        <f>SUM(F102:F105)</f>
        <v>445.57155410859968</v>
      </c>
      <c r="G106" s="78">
        <f t="shared" ref="G106:K106" si="20">SUM(G102:G105)</f>
        <v>492.75917222503</v>
      </c>
      <c r="H106" s="78">
        <f t="shared" si="20"/>
        <v>544.33270336680607</v>
      </c>
      <c r="I106" s="78">
        <f t="shared" si="20"/>
        <v>591.95937493111569</v>
      </c>
      <c r="J106" s="78">
        <f t="shared" si="20"/>
        <v>640.10876104617489</v>
      </c>
      <c r="K106" s="78">
        <f t="shared" si="20"/>
        <v>683.20170981002059</v>
      </c>
      <c r="L106" s="17"/>
      <c r="M106" s="22"/>
    </row>
    <row r="107" spans="2:13" ht="17" customHeight="1" x14ac:dyDescent="0.2">
      <c r="B107" s="17"/>
      <c r="C107" s="8" t="s">
        <v>89</v>
      </c>
      <c r="D107" s="22" t="s">
        <v>5</v>
      </c>
      <c r="E107" s="10">
        <v>-94.693157999999841</v>
      </c>
      <c r="F107" s="9">
        <f>-F106*$E$10</f>
        <v>-106.93717298606391</v>
      </c>
      <c r="G107" s="9">
        <f t="shared" ref="G107:K107" si="21">-G106*$E$10</f>
        <v>-118.2622013340072</v>
      </c>
      <c r="H107" s="9">
        <f t="shared" si="21"/>
        <v>-130.63984880803346</v>
      </c>
      <c r="I107" s="9">
        <f t="shared" si="21"/>
        <v>-142.07024998346776</v>
      </c>
      <c r="J107" s="9">
        <f t="shared" si="21"/>
        <v>-153.62610265108196</v>
      </c>
      <c r="K107" s="9">
        <f t="shared" si="21"/>
        <v>-163.96841035440494</v>
      </c>
      <c r="L107" s="17"/>
      <c r="M107" s="22"/>
    </row>
    <row r="108" spans="2:13" ht="17" customHeight="1" thickBot="1" x14ac:dyDescent="0.25">
      <c r="B108" s="17"/>
      <c r="C108" s="5" t="s">
        <v>36</v>
      </c>
      <c r="D108" s="22" t="s">
        <v>5</v>
      </c>
      <c r="E108" s="79">
        <f>SUM(E106:E107)</f>
        <v>299.86166699999956</v>
      </c>
      <c r="F108" s="79">
        <f>SUM(F106:F107)</f>
        <v>338.63438112253579</v>
      </c>
      <c r="G108" s="79">
        <f t="shared" ref="G108:K108" si="22">SUM(G106:G107)</f>
        <v>374.49697089102278</v>
      </c>
      <c r="H108" s="79">
        <f t="shared" si="22"/>
        <v>413.69285455877264</v>
      </c>
      <c r="I108" s="79">
        <f t="shared" si="22"/>
        <v>449.88912494764793</v>
      </c>
      <c r="J108" s="79">
        <f t="shared" si="22"/>
        <v>486.48265839509293</v>
      </c>
      <c r="K108" s="79">
        <f t="shared" si="22"/>
        <v>519.23329945561568</v>
      </c>
      <c r="L108" s="17"/>
      <c r="M108" s="22"/>
    </row>
    <row r="109" spans="2:13" ht="17" customHeight="1" thickTop="1" x14ac:dyDescent="0.2">
      <c r="B109" s="17"/>
      <c r="C109" s="17"/>
      <c r="D109" s="22"/>
      <c r="E109" s="10"/>
      <c r="F109" s="46"/>
      <c r="G109" s="46"/>
      <c r="H109" s="46"/>
      <c r="I109" s="46"/>
      <c r="J109" s="46"/>
      <c r="K109" s="46"/>
      <c r="L109" s="17"/>
      <c r="M109" s="22"/>
    </row>
    <row r="110" spans="2:13" ht="17" customHeight="1" x14ac:dyDescent="0.2">
      <c r="B110" s="17"/>
      <c r="C110" s="8" t="s">
        <v>90</v>
      </c>
      <c r="D110" s="22"/>
      <c r="E110" s="80">
        <f>$E$15</f>
        <v>118.70579710144928</v>
      </c>
      <c r="F110" s="80">
        <f t="shared" ref="F110:K110" si="23">$E$15</f>
        <v>118.70579710144928</v>
      </c>
      <c r="G110" s="80">
        <f t="shared" si="23"/>
        <v>118.70579710144928</v>
      </c>
      <c r="H110" s="80">
        <f t="shared" si="23"/>
        <v>118.70579710144928</v>
      </c>
      <c r="I110" s="80">
        <f t="shared" si="23"/>
        <v>118.70579710144928</v>
      </c>
      <c r="J110" s="80">
        <f t="shared" si="23"/>
        <v>118.70579710144928</v>
      </c>
      <c r="K110" s="80">
        <f t="shared" si="23"/>
        <v>118.70579710144928</v>
      </c>
      <c r="L110" s="17"/>
      <c r="M110" s="22" t="s">
        <v>207</v>
      </c>
    </row>
    <row r="111" spans="2:13" ht="17" customHeight="1" x14ac:dyDescent="0.2">
      <c r="B111" s="17"/>
      <c r="C111" s="5" t="s">
        <v>91</v>
      </c>
      <c r="D111" s="22"/>
      <c r="E111" s="81">
        <f>E108/E110</f>
        <v>2.5260911793863734</v>
      </c>
      <c r="F111" s="81">
        <f t="shared" ref="F111:K111" si="24">F108/F110</f>
        <v>2.8527198282753572</v>
      </c>
      <c r="G111" s="81">
        <f t="shared" si="24"/>
        <v>3.1548330413127781</v>
      </c>
      <c r="H111" s="81">
        <f t="shared" si="24"/>
        <v>3.4850265501795099</v>
      </c>
      <c r="I111" s="81">
        <f t="shared" si="24"/>
        <v>3.7899507516314488</v>
      </c>
      <c r="J111" s="81">
        <f t="shared" si="24"/>
        <v>4.0982215719366364</v>
      </c>
      <c r="K111" s="81">
        <f t="shared" si="24"/>
        <v>4.3741191427396293</v>
      </c>
      <c r="L111" s="17"/>
      <c r="M111" s="22"/>
    </row>
    <row r="112" spans="2:13" ht="17" customHeight="1" x14ac:dyDescent="0.2">
      <c r="B112" s="17"/>
      <c r="C112" s="5"/>
      <c r="D112" s="22"/>
      <c r="E112" s="54"/>
      <c r="F112" s="46"/>
      <c r="G112" s="46"/>
      <c r="H112" s="46"/>
      <c r="I112" s="46"/>
      <c r="J112" s="46"/>
      <c r="K112" s="46"/>
      <c r="L112" s="17"/>
      <c r="M112" s="22"/>
    </row>
    <row r="113" spans="2:13" ht="17" customHeight="1" x14ac:dyDescent="0.2">
      <c r="B113" s="36" t="s">
        <v>133</v>
      </c>
      <c r="C113" s="30"/>
      <c r="D113" s="72"/>
      <c r="E113" s="35"/>
      <c r="F113" s="40"/>
      <c r="G113" s="32" t="s">
        <v>12</v>
      </c>
      <c r="H113" s="32"/>
      <c r="I113" s="32"/>
      <c r="J113" s="32"/>
      <c r="K113" s="32"/>
      <c r="L113" s="17"/>
      <c r="M113" s="22"/>
    </row>
    <row r="114" spans="2:13" ht="17" customHeight="1" x14ac:dyDescent="0.2">
      <c r="B114" s="36"/>
      <c r="C114" s="30"/>
      <c r="D114" s="72"/>
      <c r="E114" s="33">
        <f>Merger_Model!$E$89</f>
        <v>45657</v>
      </c>
      <c r="F114" s="39">
        <f>Merger_Model!$F$89</f>
        <v>46022</v>
      </c>
      <c r="G114" s="39">
        <f>Merger_Model!$G$89</f>
        <v>46387</v>
      </c>
      <c r="H114" s="39">
        <f>Merger_Model!$H$89</f>
        <v>46752</v>
      </c>
      <c r="I114" s="39">
        <f>Merger_Model!$I$89</f>
        <v>47118</v>
      </c>
      <c r="J114" s="39">
        <f>Merger_Model!$J$89</f>
        <v>47483</v>
      </c>
      <c r="K114" s="39">
        <f>Merger_Model!$K$89</f>
        <v>47848</v>
      </c>
      <c r="L114" s="17"/>
      <c r="M114" s="22"/>
    </row>
    <row r="115" spans="2:13" ht="17" customHeight="1" x14ac:dyDescent="0.2">
      <c r="C115" s="58" t="s">
        <v>140</v>
      </c>
      <c r="D115" s="73"/>
      <c r="E115"/>
      <c r="F115"/>
      <c r="G115"/>
      <c r="H115"/>
      <c r="I115"/>
      <c r="J115"/>
      <c r="K115"/>
      <c r="L115" s="17"/>
      <c r="M115" s="22"/>
    </row>
    <row r="116" spans="2:13" ht="17" customHeight="1" x14ac:dyDescent="0.2">
      <c r="C116" s="14" t="s">
        <v>141</v>
      </c>
      <c r="D116" s="74" t="s">
        <v>61</v>
      </c>
      <c r="E116" s="10">
        <v>210.04234595999947</v>
      </c>
      <c r="F116" s="9">
        <f t="shared" ref="F116:K116" si="25">F184</f>
        <v>362.16441700086324</v>
      </c>
      <c r="G116" s="9">
        <f t="shared" si="25"/>
        <v>541.91408644018634</v>
      </c>
      <c r="H116" s="9">
        <f t="shared" si="25"/>
        <v>734.22495898653369</v>
      </c>
      <c r="I116" s="9">
        <f t="shared" si="25"/>
        <v>946.20822279773324</v>
      </c>
      <c r="J116" s="9">
        <f t="shared" si="25"/>
        <v>1179.4874171920017</v>
      </c>
      <c r="K116" s="9">
        <f t="shared" si="25"/>
        <v>1420.3401921613763</v>
      </c>
      <c r="L116" s="17"/>
      <c r="M116" s="22"/>
    </row>
    <row r="117" spans="2:13" ht="17" customHeight="1" x14ac:dyDescent="0.2">
      <c r="C117" s="14" t="s">
        <v>142</v>
      </c>
      <c r="D117" s="74" t="s">
        <v>61</v>
      </c>
      <c r="E117" s="10">
        <v>791.68000000000006</v>
      </c>
      <c r="F117" s="9">
        <f>F90*F55</f>
        <v>825.03359999999986</v>
      </c>
      <c r="G117" s="9">
        <f t="shared" ref="G117:K117" si="26">G90*G55</f>
        <v>864.77913599999999</v>
      </c>
      <c r="H117" s="9">
        <f t="shared" si="26"/>
        <v>903.80652671999997</v>
      </c>
      <c r="I117" s="9">
        <f t="shared" si="26"/>
        <v>941.21226927091209</v>
      </c>
      <c r="J117" s="9">
        <f t="shared" si="26"/>
        <v>976.33460767897532</v>
      </c>
      <c r="K117" s="9">
        <f t="shared" si="26"/>
        <v>1008.59520026541</v>
      </c>
      <c r="L117" s="17"/>
      <c r="M117" s="22"/>
    </row>
    <row r="118" spans="2:13" ht="17" customHeight="1" x14ac:dyDescent="0.2">
      <c r="C118" s="14" t="s">
        <v>143</v>
      </c>
      <c r="D118" s="74" t="s">
        <v>61</v>
      </c>
      <c r="E118" s="10">
        <v>931.92487500000004</v>
      </c>
      <c r="F118" s="9">
        <f>-F91*F56</f>
        <v>969.86567024999977</v>
      </c>
      <c r="G118" s="9">
        <f t="shared" ref="G118:K118" si="27">-G91*G56</f>
        <v>1003.927503852</v>
      </c>
      <c r="H118" s="9">
        <f t="shared" si="27"/>
        <v>1043.79062353425</v>
      </c>
      <c r="I118" s="9">
        <f t="shared" si="27"/>
        <v>1077.4600984687304</v>
      </c>
      <c r="J118" s="9">
        <f t="shared" si="27"/>
        <v>1110.5806162348345</v>
      </c>
      <c r="K118" s="9">
        <f t="shared" si="27"/>
        <v>1147.2770403019038</v>
      </c>
      <c r="L118" s="17"/>
      <c r="M118" s="22"/>
    </row>
    <row r="119" spans="2:13" ht="17" customHeight="1" x14ac:dyDescent="0.2">
      <c r="C119" s="5" t="s">
        <v>144</v>
      </c>
      <c r="D119" s="74" t="s">
        <v>61</v>
      </c>
      <c r="E119" s="59">
        <f t="shared" ref="E119:K119" si="28">SUM(E116:E118)</f>
        <v>1933.6472209599997</v>
      </c>
      <c r="F119" s="59">
        <f t="shared" si="28"/>
        <v>2157.063687250863</v>
      </c>
      <c r="G119" s="59">
        <f t="shared" si="28"/>
        <v>2410.6207262921862</v>
      </c>
      <c r="H119" s="59">
        <f t="shared" si="28"/>
        <v>2681.8221092407839</v>
      </c>
      <c r="I119" s="59">
        <f t="shared" si="28"/>
        <v>2964.8805905373756</v>
      </c>
      <c r="J119" s="59">
        <f t="shared" si="28"/>
        <v>3266.4026411058112</v>
      </c>
      <c r="K119" s="59">
        <f t="shared" si="28"/>
        <v>3576.2124327286901</v>
      </c>
      <c r="L119" s="17"/>
      <c r="M119" s="22"/>
    </row>
    <row r="120" spans="2:13" ht="17" customHeight="1" x14ac:dyDescent="0.2">
      <c r="D120" s="73"/>
      <c r="E120"/>
      <c r="F120"/>
      <c r="G120"/>
      <c r="H120"/>
      <c r="I120"/>
      <c r="J120"/>
      <c r="K120"/>
      <c r="L120" s="17"/>
      <c r="M120" s="22"/>
    </row>
    <row r="121" spans="2:13" ht="17" customHeight="1" x14ac:dyDescent="0.2">
      <c r="C121" s="14" t="s">
        <v>145</v>
      </c>
      <c r="D121" s="74" t="s">
        <v>61</v>
      </c>
      <c r="E121" s="10">
        <v>585</v>
      </c>
      <c r="F121" s="9">
        <f>E121-F152-F155-F169-F170</f>
        <v>590.02380500000004</v>
      </c>
      <c r="G121" s="9">
        <f t="shared" ref="G121:K121" si="29">F121-G152-G155-G169-G170</f>
        <v>597.5091529</v>
      </c>
      <c r="H121" s="9">
        <f t="shared" si="29"/>
        <v>604.806734484</v>
      </c>
      <c r="I121" s="9">
        <f t="shared" si="29"/>
        <v>608.15995533767898</v>
      </c>
      <c r="J121" s="9">
        <f t="shared" si="29"/>
        <v>611.78756946017097</v>
      </c>
      <c r="K121" s="9">
        <f t="shared" si="29"/>
        <v>611.72739446120772</v>
      </c>
      <c r="L121" s="17"/>
      <c r="M121" s="22"/>
    </row>
    <row r="122" spans="2:13" ht="17" customHeight="1" x14ac:dyDescent="0.2">
      <c r="C122" s="14" t="s">
        <v>146</v>
      </c>
      <c r="D122" s="74" t="s">
        <v>61</v>
      </c>
      <c r="E122" s="10">
        <v>244.98782028000002</v>
      </c>
      <c r="F122" s="9">
        <f>-F95*F57</f>
        <v>251.44894272330004</v>
      </c>
      <c r="G122" s="9">
        <f t="shared" ref="G122:K122" si="30">-G95*G57</f>
        <v>264.48341618531703</v>
      </c>
      <c r="H122" s="9">
        <f t="shared" si="30"/>
        <v>277.13103145064952</v>
      </c>
      <c r="I122" s="9">
        <f t="shared" si="30"/>
        <v>288.76676428135301</v>
      </c>
      <c r="J122" s="9">
        <f t="shared" si="30"/>
        <v>299.8406789867467</v>
      </c>
      <c r="K122" s="9">
        <f t="shared" si="30"/>
        <v>309.37880025351774</v>
      </c>
      <c r="L122" s="17"/>
      <c r="M122" s="22"/>
    </row>
    <row r="123" spans="2:13" ht="17" customHeight="1" x14ac:dyDescent="0.2">
      <c r="C123" s="14" t="s">
        <v>147</v>
      </c>
      <c r="D123" s="74" t="s">
        <v>61</v>
      </c>
      <c r="E123" s="10">
        <v>1120</v>
      </c>
      <c r="F123" s="9">
        <f>E123-F171</f>
        <v>1120</v>
      </c>
      <c r="G123" s="9">
        <f t="shared" ref="G123:K123" si="31">F123-G171</f>
        <v>1120</v>
      </c>
      <c r="H123" s="9">
        <f t="shared" si="31"/>
        <v>1120</v>
      </c>
      <c r="I123" s="9">
        <f t="shared" si="31"/>
        <v>1120</v>
      </c>
      <c r="J123" s="9">
        <f t="shared" si="31"/>
        <v>1120</v>
      </c>
      <c r="K123" s="9">
        <f t="shared" si="31"/>
        <v>1120</v>
      </c>
      <c r="L123" s="17"/>
      <c r="M123" s="22"/>
    </row>
    <row r="124" spans="2:13" ht="17" customHeight="1" x14ac:dyDescent="0.2">
      <c r="C124" s="14" t="s">
        <v>148</v>
      </c>
      <c r="D124" s="74" t="s">
        <v>61</v>
      </c>
      <c r="E124" s="10">
        <v>265</v>
      </c>
      <c r="F124" s="9">
        <f>E124-F153</f>
        <v>237.928585</v>
      </c>
      <c r="G124" s="9">
        <f t="shared" ref="G124:K124" si="32">F124-G153</f>
        <v>210.2286283</v>
      </c>
      <c r="H124" s="9">
        <f t="shared" si="32"/>
        <v>182.690773189</v>
      </c>
      <c r="I124" s="9">
        <f t="shared" si="32"/>
        <v>155.4838560303877</v>
      </c>
      <c r="J124" s="9">
        <f t="shared" si="32"/>
        <v>128.78720660166573</v>
      </c>
      <c r="K124" s="9">
        <f t="shared" si="32"/>
        <v>102.78436159482312</v>
      </c>
      <c r="L124" s="17"/>
      <c r="M124" s="22"/>
    </row>
    <row r="125" spans="2:13" ht="17" customHeight="1" x14ac:dyDescent="0.2">
      <c r="C125" s="14" t="s">
        <v>149</v>
      </c>
      <c r="D125" s="74" t="s">
        <v>61</v>
      </c>
      <c r="E125" s="10">
        <v>48</v>
      </c>
      <c r="F125" s="9">
        <f>E125</f>
        <v>48</v>
      </c>
      <c r="G125" s="9">
        <f t="shared" ref="G125:K125" si="33">F125</f>
        <v>48</v>
      </c>
      <c r="H125" s="9">
        <f t="shared" si="33"/>
        <v>48</v>
      </c>
      <c r="I125" s="9">
        <f t="shared" si="33"/>
        <v>48</v>
      </c>
      <c r="J125" s="9">
        <f t="shared" si="33"/>
        <v>48</v>
      </c>
      <c r="K125" s="9">
        <f t="shared" si="33"/>
        <v>48</v>
      </c>
      <c r="L125" s="17"/>
      <c r="M125" s="22"/>
    </row>
    <row r="126" spans="2:13" ht="17" customHeight="1" x14ac:dyDescent="0.2">
      <c r="C126" s="5" t="s">
        <v>150</v>
      </c>
      <c r="D126" s="74" t="s">
        <v>61</v>
      </c>
      <c r="E126" s="59">
        <f t="shared" ref="E126:K126" si="34">SUM(E121:E125)</f>
        <v>2262.9878202800001</v>
      </c>
      <c r="F126" s="59">
        <f t="shared" si="34"/>
        <v>2247.4013327233001</v>
      </c>
      <c r="G126" s="59">
        <f t="shared" si="34"/>
        <v>2240.2211973853168</v>
      </c>
      <c r="H126" s="59">
        <f t="shared" si="34"/>
        <v>2232.6285391236497</v>
      </c>
      <c r="I126" s="59">
        <f t="shared" si="34"/>
        <v>2220.4105756494196</v>
      </c>
      <c r="J126" s="59">
        <f t="shared" si="34"/>
        <v>2208.4154550485837</v>
      </c>
      <c r="K126" s="59">
        <f t="shared" si="34"/>
        <v>2191.8905563095486</v>
      </c>
      <c r="L126" s="17"/>
      <c r="M126" s="22"/>
    </row>
    <row r="127" spans="2:13" ht="17" customHeight="1" x14ac:dyDescent="0.2">
      <c r="D127" s="73"/>
      <c r="E127"/>
      <c r="F127"/>
      <c r="G127"/>
      <c r="H127"/>
      <c r="I127"/>
      <c r="J127"/>
      <c r="K127"/>
      <c r="L127" s="17"/>
      <c r="M127" s="22"/>
    </row>
    <row r="128" spans="2:13" ht="17" customHeight="1" thickBot="1" x14ac:dyDescent="0.25">
      <c r="C128" s="5" t="s">
        <v>151</v>
      </c>
      <c r="D128" s="74" t="s">
        <v>61</v>
      </c>
      <c r="E128" s="11">
        <f t="shared" ref="E128:K128" si="35">E119+E126</f>
        <v>4196.6350412399997</v>
      </c>
      <c r="F128" s="11">
        <f t="shared" si="35"/>
        <v>4404.4650199741627</v>
      </c>
      <c r="G128" s="11">
        <f t="shared" si="35"/>
        <v>4650.8419236775026</v>
      </c>
      <c r="H128" s="11">
        <f t="shared" si="35"/>
        <v>4914.4506483644336</v>
      </c>
      <c r="I128" s="11">
        <f t="shared" si="35"/>
        <v>5185.2911661867947</v>
      </c>
      <c r="J128" s="11">
        <f t="shared" si="35"/>
        <v>5474.8180961543949</v>
      </c>
      <c r="K128" s="11">
        <f t="shared" si="35"/>
        <v>5768.1029890382388</v>
      </c>
      <c r="L128" s="17"/>
      <c r="M128" s="22"/>
    </row>
    <row r="129" spans="3:13" ht="17" customHeight="1" thickTop="1" x14ac:dyDescent="0.2">
      <c r="D129" s="73"/>
      <c r="E129"/>
      <c r="F129"/>
      <c r="G129"/>
      <c r="H129"/>
      <c r="I129"/>
      <c r="J129"/>
      <c r="K129"/>
      <c r="L129" s="17"/>
      <c r="M129" s="22"/>
    </row>
    <row r="130" spans="3:13" ht="17" customHeight="1" x14ac:dyDescent="0.2">
      <c r="C130" s="58" t="s">
        <v>152</v>
      </c>
      <c r="D130" s="73"/>
      <c r="E130"/>
      <c r="F130"/>
      <c r="G130"/>
      <c r="H130"/>
      <c r="I130"/>
      <c r="J130"/>
      <c r="K130"/>
      <c r="L130" s="17"/>
      <c r="M130" s="22"/>
    </row>
    <row r="131" spans="3:13" ht="17" customHeight="1" x14ac:dyDescent="0.2">
      <c r="C131" s="14" t="s">
        <v>38</v>
      </c>
      <c r="D131" s="74" t="s">
        <v>61</v>
      </c>
      <c r="E131" s="10">
        <v>618.25260000000014</v>
      </c>
      <c r="F131" s="9">
        <f>-F91*F58</f>
        <v>643.42307879999998</v>
      </c>
      <c r="G131" s="9">
        <f t="shared" ref="G131:K131" si="36">-G91*G58</f>
        <v>677.527428708</v>
      </c>
      <c r="H131" s="9">
        <f t="shared" si="36"/>
        <v>711.32398048260006</v>
      </c>
      <c r="I131" s="9">
        <f t="shared" si="36"/>
        <v>739.74872432181485</v>
      </c>
      <c r="J131" s="9">
        <f t="shared" si="36"/>
        <v>771.85352828321004</v>
      </c>
      <c r="K131" s="9">
        <f t="shared" si="36"/>
        <v>797.35754300982319</v>
      </c>
      <c r="L131" s="17"/>
      <c r="M131" s="22"/>
    </row>
    <row r="132" spans="3:13" ht="17" customHeight="1" x14ac:dyDescent="0.2">
      <c r="C132" s="14" t="s">
        <v>39</v>
      </c>
      <c r="D132" s="74" t="s">
        <v>61</v>
      </c>
      <c r="E132" s="10">
        <v>283.76967600000006</v>
      </c>
      <c r="F132" s="9">
        <f>-F95*F59</f>
        <v>291.25360161000003</v>
      </c>
      <c r="G132" s="9">
        <f t="shared" ref="G132:K132" si="37">-G95*G59</f>
        <v>306.35144731890006</v>
      </c>
      <c r="H132" s="9">
        <f t="shared" si="37"/>
        <v>321.0011947304821</v>
      </c>
      <c r="I132" s="9">
        <f t="shared" si="37"/>
        <v>334.47887754596871</v>
      </c>
      <c r="J132" s="9">
        <f t="shared" si="37"/>
        <v>347.3058057761545</v>
      </c>
      <c r="K132" s="9">
        <f t="shared" si="37"/>
        <v>358.3538226874723</v>
      </c>
      <c r="L132" s="17"/>
      <c r="M132" s="22"/>
    </row>
    <row r="133" spans="3:13" ht="17" customHeight="1" x14ac:dyDescent="0.2">
      <c r="C133" s="5" t="s">
        <v>153</v>
      </c>
      <c r="D133" s="74" t="s">
        <v>61</v>
      </c>
      <c r="E133" s="59">
        <f t="shared" ref="E133:K133" si="38">SUM(E131:E132)</f>
        <v>902.02227600000015</v>
      </c>
      <c r="F133" s="59">
        <f t="shared" si="38"/>
        <v>934.67668041000002</v>
      </c>
      <c r="G133" s="59">
        <f t="shared" si="38"/>
        <v>983.87887602690012</v>
      </c>
      <c r="H133" s="59">
        <f t="shared" si="38"/>
        <v>1032.3251752130823</v>
      </c>
      <c r="I133" s="59">
        <f t="shared" si="38"/>
        <v>1074.2276018677835</v>
      </c>
      <c r="J133" s="59">
        <f t="shared" si="38"/>
        <v>1119.1593340593645</v>
      </c>
      <c r="K133" s="59">
        <f t="shared" si="38"/>
        <v>1155.7113656972956</v>
      </c>
      <c r="L133" s="17"/>
      <c r="M133" s="22"/>
    </row>
    <row r="134" spans="3:13" ht="17" customHeight="1" x14ac:dyDescent="0.2">
      <c r="D134" s="73"/>
      <c r="E134"/>
      <c r="F134"/>
      <c r="G134"/>
      <c r="H134"/>
      <c r="I134"/>
      <c r="J134"/>
      <c r="K134"/>
      <c r="L134" s="17"/>
      <c r="M134" s="22"/>
    </row>
    <row r="135" spans="3:13" ht="17" customHeight="1" x14ac:dyDescent="0.2">
      <c r="C135" s="14" t="s">
        <v>154</v>
      </c>
      <c r="D135" s="74" t="s">
        <v>61</v>
      </c>
      <c r="E135" s="10">
        <v>1650</v>
      </c>
      <c r="F135" s="9">
        <f>E135+F175+F174+F178+F154</f>
        <v>1534.2</v>
      </c>
      <c r="G135" s="9">
        <f t="shared" ref="G135:K135" si="39">F135+G175+G174+G178+G154</f>
        <v>1408.1000000000001</v>
      </c>
      <c r="H135" s="9">
        <f t="shared" si="39"/>
        <v>1271.7</v>
      </c>
      <c r="I135" s="9">
        <f t="shared" si="39"/>
        <v>1125</v>
      </c>
      <c r="J135" s="9">
        <f t="shared" si="39"/>
        <v>968</v>
      </c>
      <c r="K135" s="9">
        <f t="shared" si="39"/>
        <v>800.7</v>
      </c>
      <c r="L135" s="17"/>
      <c r="M135" s="22" t="s">
        <v>214</v>
      </c>
    </row>
    <row r="136" spans="3:13" ht="17" customHeight="1" x14ac:dyDescent="0.2">
      <c r="C136" s="14" t="s">
        <v>40</v>
      </c>
      <c r="D136" s="74" t="s">
        <v>61</v>
      </c>
      <c r="E136" s="9">
        <f t="shared" ref="E136:K136" si="40">E122</f>
        <v>244.98782028000002</v>
      </c>
      <c r="F136" s="9">
        <f t="shared" si="40"/>
        <v>251.44894272330004</v>
      </c>
      <c r="G136" s="9">
        <f t="shared" si="40"/>
        <v>264.48341618531703</v>
      </c>
      <c r="H136" s="9">
        <f t="shared" si="40"/>
        <v>277.13103145064952</v>
      </c>
      <c r="I136" s="9">
        <f t="shared" si="40"/>
        <v>288.76676428135301</v>
      </c>
      <c r="J136" s="9">
        <f t="shared" si="40"/>
        <v>299.8406789867467</v>
      </c>
      <c r="K136" s="9">
        <f t="shared" si="40"/>
        <v>309.37880025351774</v>
      </c>
      <c r="L136" s="17"/>
      <c r="M136" s="22"/>
    </row>
    <row r="137" spans="3:13" ht="17" customHeight="1" x14ac:dyDescent="0.2">
      <c r="C137" s="14" t="s">
        <v>155</v>
      </c>
      <c r="D137" s="74" t="s">
        <v>61</v>
      </c>
      <c r="E137" s="10">
        <v>62</v>
      </c>
      <c r="F137" s="9">
        <f t="shared" ref="F137:K138" si="41">E137+F157</f>
        <v>74.83246075832767</v>
      </c>
      <c r="G137" s="9">
        <f t="shared" si="41"/>
        <v>86.658680891728395</v>
      </c>
      <c r="H137" s="9">
        <f t="shared" si="41"/>
        <v>97.109868796371074</v>
      </c>
      <c r="I137" s="9">
        <f t="shared" si="41"/>
        <v>105.63408379537914</v>
      </c>
      <c r="J137" s="9">
        <f t="shared" si="41"/>
        <v>113.31538892793324</v>
      </c>
      <c r="K137" s="9">
        <f t="shared" si="41"/>
        <v>121.51380944565349</v>
      </c>
      <c r="L137" s="17"/>
      <c r="M137" s="22"/>
    </row>
    <row r="138" spans="3:13" ht="17" customHeight="1" x14ac:dyDescent="0.2">
      <c r="C138" s="14" t="s">
        <v>156</v>
      </c>
      <c r="D138" s="74" t="s">
        <v>61</v>
      </c>
      <c r="E138" s="10">
        <v>88.024944959999601</v>
      </c>
      <c r="F138" s="9">
        <f t="shared" si="41"/>
        <v>88.024944959999601</v>
      </c>
      <c r="G138" s="9">
        <f t="shared" si="41"/>
        <v>88.024944959999601</v>
      </c>
      <c r="H138" s="9">
        <f t="shared" si="41"/>
        <v>88.024944959999601</v>
      </c>
      <c r="I138" s="9">
        <f t="shared" si="41"/>
        <v>88.024944959999601</v>
      </c>
      <c r="J138" s="9">
        <f t="shared" si="41"/>
        <v>88.024944959999601</v>
      </c>
      <c r="K138" s="9">
        <f t="shared" si="41"/>
        <v>88.024944959999601</v>
      </c>
      <c r="L138" s="17"/>
      <c r="M138" s="22"/>
    </row>
    <row r="139" spans="3:13" ht="17" customHeight="1" x14ac:dyDescent="0.2">
      <c r="C139" s="5" t="s">
        <v>157</v>
      </c>
      <c r="D139" s="74" t="s">
        <v>61</v>
      </c>
      <c r="E139" s="59">
        <f t="shared" ref="E139:K139" si="42">SUM(E135:E138)</f>
        <v>2045.0127652399997</v>
      </c>
      <c r="F139" s="59">
        <f t="shared" si="42"/>
        <v>1948.5063484416273</v>
      </c>
      <c r="G139" s="59">
        <f t="shared" si="42"/>
        <v>1847.2670420370453</v>
      </c>
      <c r="H139" s="59">
        <f t="shared" si="42"/>
        <v>1733.9658452070203</v>
      </c>
      <c r="I139" s="59">
        <f t="shared" si="42"/>
        <v>1607.4257930367319</v>
      </c>
      <c r="J139" s="59">
        <f t="shared" si="42"/>
        <v>1469.1810128746797</v>
      </c>
      <c r="K139" s="59">
        <f t="shared" si="42"/>
        <v>1319.617554659171</v>
      </c>
      <c r="L139" s="17"/>
      <c r="M139" s="22"/>
    </row>
    <row r="140" spans="3:13" ht="17" customHeight="1" x14ac:dyDescent="0.2">
      <c r="D140" s="73"/>
      <c r="E140"/>
      <c r="F140"/>
      <c r="G140"/>
      <c r="H140"/>
      <c r="I140"/>
      <c r="J140"/>
      <c r="K140"/>
      <c r="L140" s="17"/>
      <c r="M140" s="22"/>
    </row>
    <row r="141" spans="3:13" ht="17" customHeight="1" x14ac:dyDescent="0.2">
      <c r="C141" s="5" t="s">
        <v>158</v>
      </c>
      <c r="D141" s="74" t="s">
        <v>61</v>
      </c>
      <c r="E141" s="7">
        <f t="shared" ref="E141:K141" si="43">E133+E139</f>
        <v>2947.0350412399998</v>
      </c>
      <c r="F141" s="7">
        <f t="shared" si="43"/>
        <v>2883.1830288516276</v>
      </c>
      <c r="G141" s="7">
        <f t="shared" si="43"/>
        <v>2831.1459180639454</v>
      </c>
      <c r="H141" s="7">
        <f t="shared" si="43"/>
        <v>2766.2910204201025</v>
      </c>
      <c r="I141" s="7">
        <f t="shared" si="43"/>
        <v>2681.6533949045152</v>
      </c>
      <c r="J141" s="7">
        <f t="shared" si="43"/>
        <v>2588.3403469340442</v>
      </c>
      <c r="K141" s="7">
        <f t="shared" si="43"/>
        <v>2475.3289203564664</v>
      </c>
      <c r="L141" s="17"/>
      <c r="M141" s="22"/>
    </row>
    <row r="142" spans="3:13" ht="17" customHeight="1" x14ac:dyDescent="0.2">
      <c r="D142" s="73"/>
      <c r="E142"/>
      <c r="F142"/>
      <c r="G142"/>
      <c r="H142"/>
      <c r="I142"/>
      <c r="J142"/>
      <c r="K142"/>
      <c r="L142" s="17"/>
      <c r="M142" s="22"/>
    </row>
    <row r="143" spans="3:13" ht="17" customHeight="1" x14ac:dyDescent="0.2">
      <c r="C143" s="5" t="s">
        <v>31</v>
      </c>
      <c r="D143" s="74" t="s">
        <v>61</v>
      </c>
      <c r="E143" s="10">
        <v>1249.5999999999999</v>
      </c>
      <c r="F143" s="9">
        <f t="shared" ref="F143:K143" si="44">E143+F151+F156+F176+F177</f>
        <v>1521.2819911225358</v>
      </c>
      <c r="G143" s="9">
        <f t="shared" si="44"/>
        <v>1819.6960056135586</v>
      </c>
      <c r="H143" s="9">
        <f t="shared" si="44"/>
        <v>2148.1596279443311</v>
      </c>
      <c r="I143" s="9">
        <f t="shared" si="44"/>
        <v>2503.63777128228</v>
      </c>
      <c r="J143" s="9">
        <f t="shared" si="44"/>
        <v>2886.4777492203507</v>
      </c>
      <c r="K143" s="9">
        <f t="shared" si="44"/>
        <v>3292.7740686817724</v>
      </c>
      <c r="L143" s="17"/>
      <c r="M143" s="22" t="s">
        <v>215</v>
      </c>
    </row>
    <row r="144" spans="3:13" ht="17" customHeight="1" x14ac:dyDescent="0.2">
      <c r="D144" s="73"/>
      <c r="E144"/>
      <c r="F144"/>
      <c r="G144"/>
      <c r="H144"/>
      <c r="I144"/>
      <c r="J144"/>
      <c r="K144"/>
      <c r="L144" s="17"/>
      <c r="M144" s="22"/>
    </row>
    <row r="145" spans="2:13" ht="17" customHeight="1" thickBot="1" x14ac:dyDescent="0.25">
      <c r="C145" s="5" t="s">
        <v>159</v>
      </c>
      <c r="D145" s="74" t="s">
        <v>61</v>
      </c>
      <c r="E145" s="11">
        <f t="shared" ref="E145:K145" si="45">E141+E143</f>
        <v>4196.6350412399997</v>
      </c>
      <c r="F145" s="11">
        <f t="shared" si="45"/>
        <v>4404.4650199741636</v>
      </c>
      <c r="G145" s="11">
        <f t="shared" si="45"/>
        <v>4650.8419236775044</v>
      </c>
      <c r="H145" s="11">
        <f t="shared" si="45"/>
        <v>4914.4506483644336</v>
      </c>
      <c r="I145" s="11">
        <f t="shared" si="45"/>
        <v>5185.2911661867947</v>
      </c>
      <c r="J145" s="11">
        <f t="shared" si="45"/>
        <v>5474.8180961543949</v>
      </c>
      <c r="K145" s="11">
        <f t="shared" si="45"/>
        <v>5768.1029890382388</v>
      </c>
      <c r="L145" s="17"/>
      <c r="M145" s="22"/>
    </row>
    <row r="146" spans="2:13" ht="17" customHeight="1" thickTop="1" x14ac:dyDescent="0.2">
      <c r="D146" s="73"/>
      <c r="E146"/>
      <c r="F146"/>
      <c r="G146"/>
      <c r="H146"/>
      <c r="I146"/>
      <c r="J146"/>
      <c r="K146"/>
      <c r="L146" s="17"/>
      <c r="M146" s="22"/>
    </row>
    <row r="147" spans="2:13" ht="17" customHeight="1" x14ac:dyDescent="0.2">
      <c r="C147" s="5" t="s">
        <v>160</v>
      </c>
      <c r="D147" s="74" t="s">
        <v>61</v>
      </c>
      <c r="E147" s="60">
        <f t="shared" ref="E147:K147" si="46">ROUND(E128-E145,6)</f>
        <v>0</v>
      </c>
      <c r="F147" s="60">
        <f t="shared" si="46"/>
        <v>0</v>
      </c>
      <c r="G147" s="60">
        <f t="shared" si="46"/>
        <v>0</v>
      </c>
      <c r="H147" s="60">
        <f t="shared" si="46"/>
        <v>0</v>
      </c>
      <c r="I147" s="60">
        <f t="shared" si="46"/>
        <v>0</v>
      </c>
      <c r="J147" s="60">
        <f t="shared" si="46"/>
        <v>0</v>
      </c>
      <c r="K147" s="60">
        <f t="shared" si="46"/>
        <v>0</v>
      </c>
      <c r="L147" s="17"/>
      <c r="M147" s="22"/>
    </row>
    <row r="148" spans="2:13" ht="17" customHeight="1" x14ac:dyDescent="0.2">
      <c r="D148" s="73"/>
      <c r="E148"/>
      <c r="F148"/>
      <c r="G148"/>
      <c r="H148"/>
      <c r="I148"/>
      <c r="J148"/>
      <c r="K148"/>
      <c r="L148" s="17"/>
      <c r="M148" s="22"/>
    </row>
    <row r="149" spans="2:13" ht="17" customHeight="1" x14ac:dyDescent="0.2">
      <c r="B149" s="36" t="s">
        <v>198</v>
      </c>
      <c r="C149" s="30"/>
      <c r="D149" s="72"/>
      <c r="E149" s="35"/>
      <c r="F149" s="40"/>
      <c r="G149" s="32" t="s">
        <v>12</v>
      </c>
      <c r="H149" s="32"/>
      <c r="I149" s="32"/>
      <c r="J149" s="32"/>
      <c r="K149" s="32"/>
      <c r="L149" s="17"/>
      <c r="M149" s="22"/>
    </row>
    <row r="150" spans="2:13" ht="17" customHeight="1" x14ac:dyDescent="0.2">
      <c r="B150" s="36"/>
      <c r="C150" s="30"/>
      <c r="D150" s="72"/>
      <c r="E150" s="33">
        <f>Merger_Model!$E$89</f>
        <v>45657</v>
      </c>
      <c r="F150" s="39">
        <f>Merger_Model!$F$89</f>
        <v>46022</v>
      </c>
      <c r="G150" s="39">
        <f>Merger_Model!$G$89</f>
        <v>46387</v>
      </c>
      <c r="H150" s="39">
        <f>Merger_Model!$H$89</f>
        <v>46752</v>
      </c>
      <c r="I150" s="39">
        <f>Merger_Model!$I$89</f>
        <v>47118</v>
      </c>
      <c r="J150" s="39">
        <f>Merger_Model!$J$89</f>
        <v>47483</v>
      </c>
      <c r="K150" s="39">
        <f>Merger_Model!$K$89</f>
        <v>47848</v>
      </c>
      <c r="L150" s="17"/>
      <c r="M150" s="22"/>
    </row>
    <row r="151" spans="2:13" ht="17" customHeight="1" x14ac:dyDescent="0.2">
      <c r="C151" s="5" t="s">
        <v>36</v>
      </c>
      <c r="D151" s="74" t="s">
        <v>61</v>
      </c>
      <c r="E151" s="7">
        <f t="shared" ref="E151:K151" si="47">E108</f>
        <v>299.86166699999956</v>
      </c>
      <c r="F151" s="7">
        <f t="shared" si="47"/>
        <v>338.63438112253579</v>
      </c>
      <c r="G151" s="7">
        <f t="shared" si="47"/>
        <v>374.49697089102278</v>
      </c>
      <c r="H151" s="7">
        <f t="shared" si="47"/>
        <v>413.69285455877264</v>
      </c>
      <c r="I151" s="7">
        <f t="shared" si="47"/>
        <v>449.88912494764793</v>
      </c>
      <c r="J151" s="7">
        <f t="shared" si="47"/>
        <v>486.48265839509293</v>
      </c>
      <c r="K151" s="7">
        <f t="shared" si="47"/>
        <v>519.23329945561568</v>
      </c>
      <c r="L151" s="17"/>
      <c r="M151" s="22"/>
    </row>
    <row r="152" spans="2:13" ht="17" customHeight="1" x14ac:dyDescent="0.2">
      <c r="C152" s="14" t="s">
        <v>161</v>
      </c>
      <c r="D152" s="74" t="s">
        <v>61</v>
      </c>
      <c r="E152" s="9">
        <f>-E96</f>
        <v>71.127499999999998</v>
      </c>
      <c r="F152" s="9">
        <f t="shared" ref="F152:K153" si="48">-F96</f>
        <v>74.768669999999986</v>
      </c>
      <c r="G152" s="9">
        <f t="shared" si="48"/>
        <v>79.721826599999986</v>
      </c>
      <c r="H152" s="9">
        <f t="shared" si="48"/>
        <v>84.025763030999997</v>
      </c>
      <c r="I152" s="9">
        <f t="shared" si="48"/>
        <v>88.238650244148005</v>
      </c>
      <c r="J152" s="9">
        <f t="shared" si="48"/>
        <v>91.531369469903936</v>
      </c>
      <c r="K152" s="9">
        <f t="shared" si="48"/>
        <v>94.555800024882188</v>
      </c>
      <c r="L152" s="17"/>
      <c r="M152" s="22"/>
    </row>
    <row r="153" spans="2:13" ht="17" customHeight="1" x14ac:dyDescent="0.2">
      <c r="C153" s="14" t="s">
        <v>162</v>
      </c>
      <c r="D153" s="74" t="s">
        <v>61</v>
      </c>
      <c r="E153" s="9">
        <f>-E97</f>
        <v>25.976999999999997</v>
      </c>
      <c r="F153" s="9">
        <f t="shared" si="48"/>
        <v>27.071414999999995</v>
      </c>
      <c r="G153" s="9">
        <f t="shared" si="48"/>
        <v>27.699956700000001</v>
      </c>
      <c r="H153" s="9">
        <f t="shared" si="48"/>
        <v>27.537855110999999</v>
      </c>
      <c r="I153" s="9">
        <f t="shared" si="48"/>
        <v>27.206917158612303</v>
      </c>
      <c r="J153" s="9">
        <f t="shared" si="48"/>
        <v>26.696649428721983</v>
      </c>
      <c r="K153" s="9">
        <f t="shared" si="48"/>
        <v>26.002845006842602</v>
      </c>
      <c r="L153" s="17"/>
      <c r="M153" s="22"/>
    </row>
    <row r="154" spans="2:13" ht="17" customHeight="1" x14ac:dyDescent="0.2">
      <c r="C154" s="14" t="s">
        <v>163</v>
      </c>
      <c r="D154" s="74" t="s">
        <v>61</v>
      </c>
      <c r="E154" s="10">
        <v>4.5</v>
      </c>
      <c r="F154" s="9">
        <f>F78</f>
        <v>4.2</v>
      </c>
      <c r="G154" s="9">
        <f t="shared" ref="G154:K154" si="49">G78</f>
        <v>3.9</v>
      </c>
      <c r="H154" s="9">
        <f t="shared" si="49"/>
        <v>3.6</v>
      </c>
      <c r="I154" s="9">
        <f t="shared" si="49"/>
        <v>3.3</v>
      </c>
      <c r="J154" s="9">
        <f t="shared" si="49"/>
        <v>3</v>
      </c>
      <c r="K154" s="9">
        <f t="shared" si="49"/>
        <v>2.7</v>
      </c>
      <c r="L154" s="17"/>
      <c r="M154" s="22"/>
    </row>
    <row r="155" spans="2:13" ht="17" customHeight="1" x14ac:dyDescent="0.2">
      <c r="C155" s="14" t="s">
        <v>164</v>
      </c>
      <c r="D155" s="74" t="s">
        <v>61</v>
      </c>
      <c r="E155" s="10">
        <v>0</v>
      </c>
      <c r="F155" s="9">
        <f>-F99</f>
        <v>0</v>
      </c>
      <c r="G155" s="9">
        <f t="shared" ref="G155:K155" si="50">-G99</f>
        <v>0</v>
      </c>
      <c r="H155" s="9">
        <f t="shared" si="50"/>
        <v>0</v>
      </c>
      <c r="I155" s="9">
        <f t="shared" si="50"/>
        <v>0</v>
      </c>
      <c r="J155" s="9">
        <f t="shared" si="50"/>
        <v>0</v>
      </c>
      <c r="K155" s="9">
        <f t="shared" si="50"/>
        <v>0</v>
      </c>
      <c r="L155" s="17"/>
      <c r="M155" s="22"/>
    </row>
    <row r="156" spans="2:13" ht="17" customHeight="1" x14ac:dyDescent="0.2">
      <c r="C156" s="14" t="s">
        <v>165</v>
      </c>
      <c r="D156" s="74" t="s">
        <v>61</v>
      </c>
      <c r="E156" s="10">
        <v>17.318000000000001</v>
      </c>
      <c r="F156" s="9">
        <f>F90*F61</f>
        <v>18.047609999999995</v>
      </c>
      <c r="G156" s="9">
        <f t="shared" ref="G156:K156" si="51">G90*G61</f>
        <v>18.9170436</v>
      </c>
      <c r="H156" s="9">
        <f t="shared" si="51"/>
        <v>19.770767771999999</v>
      </c>
      <c r="I156" s="9">
        <f t="shared" si="51"/>
        <v>20.589018390301202</v>
      </c>
      <c r="J156" s="9">
        <f t="shared" si="51"/>
        <v>21.357319542977585</v>
      </c>
      <c r="K156" s="9">
        <f t="shared" si="51"/>
        <v>22.063020005805843</v>
      </c>
      <c r="L156" s="17"/>
      <c r="M156" s="22"/>
    </row>
    <row r="157" spans="2:13" ht="17" customHeight="1" x14ac:dyDescent="0.2">
      <c r="C157" s="14" t="s">
        <v>166</v>
      </c>
      <c r="D157" s="74" t="s">
        <v>61</v>
      </c>
      <c r="E157" s="10">
        <v>11.363178959999981</v>
      </c>
      <c r="F157" s="9">
        <f>-F107*F62</f>
        <v>12.832460758327668</v>
      </c>
      <c r="G157" s="9">
        <f t="shared" ref="G157:K157" si="52">-G107*G62</f>
        <v>11.826220133400721</v>
      </c>
      <c r="H157" s="9">
        <f t="shared" si="52"/>
        <v>10.451187904642678</v>
      </c>
      <c r="I157" s="9">
        <f t="shared" si="52"/>
        <v>8.5242149990080662</v>
      </c>
      <c r="J157" s="9">
        <f t="shared" si="52"/>
        <v>7.6813051325540984</v>
      </c>
      <c r="K157" s="9">
        <f t="shared" si="52"/>
        <v>8.1984205177202476</v>
      </c>
      <c r="L157" s="17"/>
      <c r="M157" s="22"/>
    </row>
    <row r="158" spans="2:13" ht="17" customHeight="1" x14ac:dyDescent="0.2">
      <c r="C158" s="14" t="s">
        <v>167</v>
      </c>
      <c r="D158" s="74" t="s">
        <v>61</v>
      </c>
      <c r="E158" s="10">
        <v>-6</v>
      </c>
      <c r="F158" s="9">
        <f>F60</f>
        <v>0</v>
      </c>
      <c r="G158" s="9">
        <f t="shared" ref="G158:K158" si="53">G60</f>
        <v>0</v>
      </c>
      <c r="H158" s="9">
        <f t="shared" si="53"/>
        <v>0</v>
      </c>
      <c r="I158" s="9">
        <f t="shared" si="53"/>
        <v>0</v>
      </c>
      <c r="J158" s="9">
        <f t="shared" si="53"/>
        <v>0</v>
      </c>
      <c r="K158" s="9">
        <f t="shared" si="53"/>
        <v>0</v>
      </c>
      <c r="L158" s="17"/>
      <c r="M158" s="22" t="s">
        <v>213</v>
      </c>
    </row>
    <row r="159" spans="2:13" ht="17" customHeight="1" x14ac:dyDescent="0.2">
      <c r="C159" s="13" t="s">
        <v>14</v>
      </c>
      <c r="D159" s="73"/>
      <c r="E159"/>
      <c r="F159"/>
      <c r="G159"/>
      <c r="H159"/>
      <c r="I159"/>
      <c r="J159"/>
      <c r="K159"/>
      <c r="L159" s="17"/>
      <c r="M159" s="22"/>
    </row>
    <row r="160" spans="2:13" ht="17" customHeight="1" x14ac:dyDescent="0.2">
      <c r="C160" s="14" t="s">
        <v>168</v>
      </c>
      <c r="D160" s="74" t="s">
        <v>61</v>
      </c>
      <c r="E160" s="10">
        <v>-58.9</v>
      </c>
      <c r="F160" s="9">
        <f>E117-F117</f>
        <v>-33.353599999999801</v>
      </c>
      <c r="G160" s="9">
        <f t="shared" ref="G160:K160" si="54">F117-G117</f>
        <v>-39.745536000000129</v>
      </c>
      <c r="H160" s="9">
        <f t="shared" si="54"/>
        <v>-39.027390719999971</v>
      </c>
      <c r="I160" s="9">
        <f t="shared" si="54"/>
        <v>-37.405742550912123</v>
      </c>
      <c r="J160" s="9">
        <f t="shared" si="54"/>
        <v>-35.122338408063229</v>
      </c>
      <c r="K160" s="9">
        <f t="shared" si="54"/>
        <v>-32.260592586434655</v>
      </c>
      <c r="L160" s="17"/>
      <c r="M160" s="22"/>
    </row>
    <row r="161" spans="3:13" ht="17" customHeight="1" x14ac:dyDescent="0.2">
      <c r="C161" s="14" t="s">
        <v>169</v>
      </c>
      <c r="D161" s="74" t="s">
        <v>61</v>
      </c>
      <c r="E161" s="10">
        <v>-67</v>
      </c>
      <c r="F161" s="9">
        <f>E118-F118</f>
        <v>-37.940795249999724</v>
      </c>
      <c r="G161" s="9">
        <f t="shared" ref="G161:K161" si="55">F118-G118</f>
        <v>-34.061833602000206</v>
      </c>
      <c r="H161" s="9">
        <f t="shared" si="55"/>
        <v>-39.863119682250044</v>
      </c>
      <c r="I161" s="9">
        <f t="shared" si="55"/>
        <v>-33.669474934480377</v>
      </c>
      <c r="J161" s="9">
        <f t="shared" si="55"/>
        <v>-33.120517766104058</v>
      </c>
      <c r="K161" s="9">
        <f t="shared" si="55"/>
        <v>-36.696424067069302</v>
      </c>
      <c r="L161" s="17"/>
      <c r="M161" s="22"/>
    </row>
    <row r="162" spans="3:13" ht="17" customHeight="1" x14ac:dyDescent="0.2">
      <c r="C162" s="14" t="s">
        <v>170</v>
      </c>
      <c r="D162" s="74" t="s">
        <v>61</v>
      </c>
      <c r="E162" s="10">
        <v>-15.2</v>
      </c>
      <c r="F162" s="9">
        <f>E122-F122</f>
        <v>-6.4611224433000132</v>
      </c>
      <c r="G162" s="9">
        <f t="shared" ref="G162:K162" si="56">F122-G122</f>
        <v>-13.03447346201699</v>
      </c>
      <c r="H162" s="9">
        <f t="shared" si="56"/>
        <v>-12.64761526533249</v>
      </c>
      <c r="I162" s="9">
        <f t="shared" si="56"/>
        <v>-11.635732830703489</v>
      </c>
      <c r="J162" s="9">
        <f t="shared" si="56"/>
        <v>-11.07391470539369</v>
      </c>
      <c r="K162" s="9">
        <f t="shared" si="56"/>
        <v>-9.5381212667710429</v>
      </c>
      <c r="L162" s="17"/>
      <c r="M162" s="22"/>
    </row>
    <row r="163" spans="3:13" ht="17" customHeight="1" x14ac:dyDescent="0.2">
      <c r="C163" s="14" t="s">
        <v>171</v>
      </c>
      <c r="D163" s="74" t="s">
        <v>61</v>
      </c>
      <c r="E163" s="10">
        <v>44.5</v>
      </c>
      <c r="F163" s="9">
        <f>F131-E131</f>
        <v>25.170478799999842</v>
      </c>
      <c r="G163" s="9">
        <f t="shared" ref="G163:K163" si="57">G131-F131</f>
        <v>34.104349908000017</v>
      </c>
      <c r="H163" s="9">
        <f t="shared" si="57"/>
        <v>33.796551774600061</v>
      </c>
      <c r="I163" s="9">
        <f t="shared" si="57"/>
        <v>28.424743839214784</v>
      </c>
      <c r="J163" s="9">
        <f t="shared" si="57"/>
        <v>32.104803961395191</v>
      </c>
      <c r="K163" s="9">
        <f t="shared" si="57"/>
        <v>25.50401472661315</v>
      </c>
      <c r="L163" s="17"/>
      <c r="M163" s="22"/>
    </row>
    <row r="164" spans="3:13" ht="17" customHeight="1" x14ac:dyDescent="0.2">
      <c r="C164" s="14" t="s">
        <v>172</v>
      </c>
      <c r="D164" s="74" t="s">
        <v>61</v>
      </c>
      <c r="E164" s="10">
        <v>17.600000000000001</v>
      </c>
      <c r="F164" s="9">
        <f>F132-E132</f>
        <v>7.4839256099999716</v>
      </c>
      <c r="G164" s="9">
        <f t="shared" ref="G164:K164" si="58">G132-F132</f>
        <v>15.097845708900024</v>
      </c>
      <c r="H164" s="9">
        <f t="shared" si="58"/>
        <v>14.649747411582041</v>
      </c>
      <c r="I164" s="9">
        <f t="shared" si="58"/>
        <v>13.477682815486617</v>
      </c>
      <c r="J164" s="9">
        <f t="shared" si="58"/>
        <v>12.826928230185786</v>
      </c>
      <c r="K164" s="9">
        <f t="shared" si="58"/>
        <v>11.048016911317802</v>
      </c>
      <c r="L164" s="17"/>
      <c r="M164" s="22"/>
    </row>
    <row r="165" spans="3:13" ht="17" customHeight="1" x14ac:dyDescent="0.2">
      <c r="C165" s="14" t="s">
        <v>173</v>
      </c>
      <c r="D165" s="74" t="s">
        <v>61</v>
      </c>
      <c r="E165" s="10">
        <v>15.2</v>
      </c>
      <c r="F165" s="9">
        <f>F136-E136</f>
        <v>6.4611224433000132</v>
      </c>
      <c r="G165" s="9">
        <f t="shared" ref="G165:K165" si="59">G136-F136</f>
        <v>13.03447346201699</v>
      </c>
      <c r="H165" s="9">
        <f t="shared" si="59"/>
        <v>12.64761526533249</v>
      </c>
      <c r="I165" s="9">
        <f t="shared" si="59"/>
        <v>11.635732830703489</v>
      </c>
      <c r="J165" s="9">
        <f t="shared" si="59"/>
        <v>11.07391470539369</v>
      </c>
      <c r="K165" s="9">
        <f t="shared" si="59"/>
        <v>9.5381212667710429</v>
      </c>
      <c r="L165" s="17"/>
      <c r="M165" s="22"/>
    </row>
    <row r="166" spans="3:13" ht="17" customHeight="1" x14ac:dyDescent="0.2">
      <c r="C166" s="5" t="s">
        <v>174</v>
      </c>
      <c r="D166" s="74" t="s">
        <v>61</v>
      </c>
      <c r="E166" s="59">
        <f t="shared" ref="E166:K166" si="60">SUM(E160:E165)</f>
        <v>-63.8</v>
      </c>
      <c r="F166" s="59">
        <f t="shared" si="60"/>
        <v>-38.639990839999712</v>
      </c>
      <c r="G166" s="59">
        <f t="shared" si="60"/>
        <v>-24.605173985100294</v>
      </c>
      <c r="H166" s="59">
        <f t="shared" si="60"/>
        <v>-30.444211216067913</v>
      </c>
      <c r="I166" s="59">
        <f t="shared" si="60"/>
        <v>-29.172790830691099</v>
      </c>
      <c r="J166" s="59">
        <f t="shared" si="60"/>
        <v>-23.311123982586309</v>
      </c>
      <c r="K166" s="59">
        <f t="shared" si="60"/>
        <v>-32.404985015573004</v>
      </c>
      <c r="L166" s="17"/>
      <c r="M166" s="22"/>
    </row>
    <row r="167" spans="3:13" ht="17" customHeight="1" thickBot="1" x14ac:dyDescent="0.25">
      <c r="C167" s="5" t="s">
        <v>175</v>
      </c>
      <c r="D167" s="74" t="s">
        <v>61</v>
      </c>
      <c r="E167" s="11">
        <f t="shared" ref="E167:K167" si="61">SUM(E151:E158)+E166</f>
        <v>360.34734595999947</v>
      </c>
      <c r="F167" s="11">
        <f t="shared" si="61"/>
        <v>436.91454604086374</v>
      </c>
      <c r="G167" s="11">
        <f t="shared" si="61"/>
        <v>491.95684393932316</v>
      </c>
      <c r="H167" s="11">
        <f t="shared" si="61"/>
        <v>528.63421716134735</v>
      </c>
      <c r="I167" s="11">
        <f t="shared" si="61"/>
        <v>568.57513490902647</v>
      </c>
      <c r="J167" s="11">
        <f t="shared" si="61"/>
        <v>613.4381779866643</v>
      </c>
      <c r="K167" s="11">
        <f t="shared" si="61"/>
        <v>640.34839999529345</v>
      </c>
      <c r="L167" s="17"/>
      <c r="M167" s="22"/>
    </row>
    <row r="168" spans="3:13" ht="17" customHeight="1" thickTop="1" x14ac:dyDescent="0.2">
      <c r="D168" s="73"/>
      <c r="E168"/>
      <c r="F168"/>
      <c r="G168"/>
      <c r="H168"/>
      <c r="I168"/>
      <c r="J168"/>
      <c r="K168"/>
      <c r="L168" s="17"/>
      <c r="M168" s="22"/>
    </row>
    <row r="169" spans="3:13" ht="17" customHeight="1" x14ac:dyDescent="0.2">
      <c r="C169" s="14" t="s">
        <v>176</v>
      </c>
      <c r="D169" s="74" t="s">
        <v>61</v>
      </c>
      <c r="E169" s="10">
        <v>-80.405000000000001</v>
      </c>
      <c r="F169" s="9">
        <f>-F90*F65</f>
        <v>-83.792474999999982</v>
      </c>
      <c r="G169" s="9">
        <f t="shared" ref="G169:K169" si="62">-G90*G65</f>
        <v>-91.207174499999994</v>
      </c>
      <c r="H169" s="9">
        <f t="shared" si="62"/>
        <v>-95.323344614999996</v>
      </c>
      <c r="I169" s="9">
        <f t="shared" si="62"/>
        <v>-95.591871097826996</v>
      </c>
      <c r="J169" s="9">
        <f t="shared" si="62"/>
        <v>-99.158983592395927</v>
      </c>
      <c r="K169" s="9">
        <f t="shared" si="62"/>
        <v>-98.495625025918955</v>
      </c>
      <c r="L169" s="17"/>
      <c r="M169" s="22"/>
    </row>
    <row r="170" spans="3:13" ht="17" customHeight="1" x14ac:dyDescent="0.2">
      <c r="C170" s="14" t="s">
        <v>177</v>
      </c>
      <c r="D170" s="74" t="s">
        <v>61</v>
      </c>
      <c r="E170" s="10">
        <v>4</v>
      </c>
      <c r="F170" s="9">
        <f>F66</f>
        <v>4</v>
      </c>
      <c r="G170" s="9">
        <f t="shared" ref="G170:K170" si="63">G66</f>
        <v>4</v>
      </c>
      <c r="H170" s="9">
        <f t="shared" si="63"/>
        <v>4</v>
      </c>
      <c r="I170" s="9">
        <f t="shared" si="63"/>
        <v>4</v>
      </c>
      <c r="J170" s="9">
        <f t="shared" si="63"/>
        <v>4</v>
      </c>
      <c r="K170" s="9">
        <f t="shared" si="63"/>
        <v>4</v>
      </c>
      <c r="L170" s="17"/>
      <c r="M170" s="22"/>
    </row>
    <row r="171" spans="3:13" ht="17" customHeight="1" x14ac:dyDescent="0.2">
      <c r="C171" s="14" t="s">
        <v>178</v>
      </c>
      <c r="D171" s="74" t="s">
        <v>61</v>
      </c>
      <c r="E171" s="10">
        <v>-64.900000000000006</v>
      </c>
      <c r="F171" s="9">
        <f>F67</f>
        <v>0</v>
      </c>
      <c r="G171" s="9">
        <f t="shared" ref="G171:K171" si="64">G67</f>
        <v>0</v>
      </c>
      <c r="H171" s="9">
        <f t="shared" si="64"/>
        <v>0</v>
      </c>
      <c r="I171" s="9">
        <f t="shared" si="64"/>
        <v>0</v>
      </c>
      <c r="J171" s="9">
        <f t="shared" si="64"/>
        <v>0</v>
      </c>
      <c r="K171" s="9">
        <f t="shared" si="64"/>
        <v>0</v>
      </c>
      <c r="L171" s="17"/>
      <c r="M171" s="22"/>
    </row>
    <row r="172" spans="3:13" ht="17" customHeight="1" thickBot="1" x14ac:dyDescent="0.25">
      <c r="C172" s="5" t="s">
        <v>179</v>
      </c>
      <c r="D172" s="74" t="s">
        <v>61</v>
      </c>
      <c r="E172" s="11">
        <f t="shared" ref="E172:K172" si="65">SUM(E169:E171)</f>
        <v>-141.30500000000001</v>
      </c>
      <c r="F172" s="11">
        <f t="shared" si="65"/>
        <v>-79.792474999999982</v>
      </c>
      <c r="G172" s="11">
        <f t="shared" si="65"/>
        <v>-87.207174499999994</v>
      </c>
      <c r="H172" s="11">
        <f t="shared" si="65"/>
        <v>-91.323344614999996</v>
      </c>
      <c r="I172" s="11">
        <f t="shared" si="65"/>
        <v>-91.591871097826996</v>
      </c>
      <c r="J172" s="11">
        <f t="shared" si="65"/>
        <v>-95.158983592395927</v>
      </c>
      <c r="K172" s="11">
        <f t="shared" si="65"/>
        <v>-94.495625025918955</v>
      </c>
      <c r="L172" s="17"/>
      <c r="M172" s="22"/>
    </row>
    <row r="173" spans="3:13" ht="17" customHeight="1" thickTop="1" x14ac:dyDescent="0.2">
      <c r="D173" s="73"/>
      <c r="E173"/>
      <c r="F173"/>
      <c r="G173"/>
      <c r="H173"/>
      <c r="I173"/>
      <c r="J173"/>
      <c r="K173"/>
      <c r="L173" s="17"/>
      <c r="M173" s="22"/>
    </row>
    <row r="174" spans="3:13" ht="17" customHeight="1" x14ac:dyDescent="0.2">
      <c r="C174" s="14" t="s">
        <v>180</v>
      </c>
      <c r="D174" s="74" t="s">
        <v>61</v>
      </c>
      <c r="E174" s="10">
        <v>450</v>
      </c>
      <c r="F174" s="9">
        <f>F69</f>
        <v>0</v>
      </c>
      <c r="G174" s="9">
        <f t="shared" ref="G174:K174" si="66">G69</f>
        <v>0</v>
      </c>
      <c r="H174" s="9">
        <f t="shared" si="66"/>
        <v>0</v>
      </c>
      <c r="I174" s="9">
        <f t="shared" si="66"/>
        <v>0</v>
      </c>
      <c r="J174" s="9">
        <f t="shared" si="66"/>
        <v>0</v>
      </c>
      <c r="K174" s="9">
        <f t="shared" si="66"/>
        <v>0</v>
      </c>
      <c r="L174" s="17"/>
      <c r="M174" s="22"/>
    </row>
    <row r="175" spans="3:13" ht="17" customHeight="1" x14ac:dyDescent="0.2">
      <c r="C175" s="14" t="s">
        <v>181</v>
      </c>
      <c r="D175" s="74" t="s">
        <v>61</v>
      </c>
      <c r="E175" s="10">
        <v>-420</v>
      </c>
      <c r="F175" s="9">
        <f>-F70</f>
        <v>-120</v>
      </c>
      <c r="G175" s="9">
        <f t="shared" ref="G175:K175" si="67">-G70</f>
        <v>-130</v>
      </c>
      <c r="H175" s="9">
        <f t="shared" si="67"/>
        <v>-140</v>
      </c>
      <c r="I175" s="9">
        <f t="shared" si="67"/>
        <v>-150</v>
      </c>
      <c r="J175" s="9">
        <f t="shared" si="67"/>
        <v>-160</v>
      </c>
      <c r="K175" s="9">
        <f t="shared" si="67"/>
        <v>-170</v>
      </c>
      <c r="L175" s="17"/>
      <c r="M175" s="22"/>
    </row>
    <row r="176" spans="3:13" ht="17" customHeight="1" x14ac:dyDescent="0.2">
      <c r="C176" s="14" t="s">
        <v>182</v>
      </c>
      <c r="D176" s="74" t="s">
        <v>61</v>
      </c>
      <c r="E176" s="10">
        <v>-95</v>
      </c>
      <c r="F176" s="9">
        <f>-F71</f>
        <v>0</v>
      </c>
      <c r="G176" s="9">
        <f t="shared" ref="G176:K176" si="68">-G71</f>
        <v>0</v>
      </c>
      <c r="H176" s="9">
        <f t="shared" si="68"/>
        <v>0</v>
      </c>
      <c r="I176" s="9">
        <f t="shared" si="68"/>
        <v>0</v>
      </c>
      <c r="J176" s="9">
        <f t="shared" si="68"/>
        <v>0</v>
      </c>
      <c r="K176" s="9">
        <f t="shared" si="68"/>
        <v>0</v>
      </c>
      <c r="L176" s="17"/>
      <c r="M176" s="22"/>
    </row>
    <row r="177" spans="2:13" ht="17" customHeight="1" x14ac:dyDescent="0.2">
      <c r="C177" s="14" t="s">
        <v>183</v>
      </c>
      <c r="D177" s="74" t="s">
        <v>61</v>
      </c>
      <c r="E177" s="10">
        <v>0</v>
      </c>
      <c r="F177" s="9">
        <f>-F72</f>
        <v>-85</v>
      </c>
      <c r="G177" s="9">
        <f t="shared" ref="G177:K177" si="69">-G72</f>
        <v>-95</v>
      </c>
      <c r="H177" s="9">
        <f t="shared" si="69"/>
        <v>-105</v>
      </c>
      <c r="I177" s="9">
        <f t="shared" si="69"/>
        <v>-115</v>
      </c>
      <c r="J177" s="9">
        <f t="shared" si="69"/>
        <v>-125</v>
      </c>
      <c r="K177" s="9">
        <f t="shared" si="69"/>
        <v>-135</v>
      </c>
      <c r="L177" s="17"/>
      <c r="M177" s="22"/>
    </row>
    <row r="178" spans="2:13" ht="17" customHeight="1" x14ac:dyDescent="0.2">
      <c r="C178" s="14" t="s">
        <v>184</v>
      </c>
      <c r="D178" s="74" t="s">
        <v>61</v>
      </c>
      <c r="E178" s="10">
        <v>-9</v>
      </c>
      <c r="F178" s="9">
        <f>-F73</f>
        <v>0</v>
      </c>
      <c r="G178" s="9">
        <f t="shared" ref="G178:K178" si="70">-G73</f>
        <v>0</v>
      </c>
      <c r="H178" s="9">
        <f t="shared" si="70"/>
        <v>0</v>
      </c>
      <c r="I178" s="9">
        <f t="shared" si="70"/>
        <v>0</v>
      </c>
      <c r="J178" s="9">
        <f t="shared" si="70"/>
        <v>0</v>
      </c>
      <c r="K178" s="9">
        <f t="shared" si="70"/>
        <v>0</v>
      </c>
      <c r="L178" s="17"/>
      <c r="M178" s="22"/>
    </row>
    <row r="179" spans="2:13" ht="17" customHeight="1" thickBot="1" x14ac:dyDescent="0.25">
      <c r="C179" s="5" t="s">
        <v>185</v>
      </c>
      <c r="D179" s="74" t="s">
        <v>61</v>
      </c>
      <c r="E179" s="11">
        <f t="shared" ref="E179:K179" si="71">SUM(E174:E178)</f>
        <v>-74</v>
      </c>
      <c r="F179" s="11">
        <f t="shared" si="71"/>
        <v>-205</v>
      </c>
      <c r="G179" s="11">
        <f t="shared" si="71"/>
        <v>-225</v>
      </c>
      <c r="H179" s="11">
        <f t="shared" si="71"/>
        <v>-245</v>
      </c>
      <c r="I179" s="11">
        <f t="shared" si="71"/>
        <v>-265</v>
      </c>
      <c r="J179" s="11">
        <f t="shared" si="71"/>
        <v>-285</v>
      </c>
      <c r="K179" s="11">
        <f t="shared" si="71"/>
        <v>-305</v>
      </c>
      <c r="L179" s="17"/>
      <c r="M179" s="22"/>
    </row>
    <row r="180" spans="2:13" ht="17" customHeight="1" thickTop="1" x14ac:dyDescent="0.2">
      <c r="D180" s="73"/>
      <c r="E180"/>
      <c r="F180"/>
      <c r="G180"/>
      <c r="H180"/>
      <c r="I180"/>
      <c r="J180"/>
      <c r="K180"/>
      <c r="L180" s="17"/>
      <c r="M180" s="22"/>
    </row>
    <row r="181" spans="2:13" ht="17" customHeight="1" x14ac:dyDescent="0.2">
      <c r="C181" s="5" t="s">
        <v>186</v>
      </c>
      <c r="D181" s="74" t="s">
        <v>61</v>
      </c>
      <c r="E181" s="7">
        <f t="shared" ref="E181:K181" si="72">E167+E172+E179</f>
        <v>145.04234595999947</v>
      </c>
      <c r="F181" s="7">
        <f t="shared" si="72"/>
        <v>152.12207104086377</v>
      </c>
      <c r="G181" s="7">
        <f t="shared" si="72"/>
        <v>179.74966943932316</v>
      </c>
      <c r="H181" s="7">
        <f t="shared" si="72"/>
        <v>192.31087254634735</v>
      </c>
      <c r="I181" s="7">
        <f t="shared" si="72"/>
        <v>211.98326381119949</v>
      </c>
      <c r="J181" s="7">
        <f t="shared" si="72"/>
        <v>233.27919439426842</v>
      </c>
      <c r="K181" s="7">
        <f t="shared" si="72"/>
        <v>240.85277496937454</v>
      </c>
      <c r="L181" s="17"/>
      <c r="M181" s="22"/>
    </row>
    <row r="182" spans="2:13" ht="17" customHeight="1" x14ac:dyDescent="0.2">
      <c r="D182" s="73"/>
      <c r="E182"/>
      <c r="F182"/>
      <c r="G182"/>
      <c r="H182"/>
      <c r="I182"/>
      <c r="J182"/>
      <c r="K182"/>
      <c r="L182" s="17"/>
      <c r="M182" s="22"/>
    </row>
    <row r="183" spans="2:13" ht="17" customHeight="1" x14ac:dyDescent="0.2">
      <c r="C183" s="8" t="s">
        <v>187</v>
      </c>
      <c r="D183" s="74" t="s">
        <v>61</v>
      </c>
      <c r="E183" s="10">
        <v>65</v>
      </c>
      <c r="F183" s="9">
        <f t="shared" ref="F183:K183" si="73">E184</f>
        <v>210.04234595999947</v>
      </c>
      <c r="G183" s="9">
        <f t="shared" si="73"/>
        <v>362.16441700086324</v>
      </c>
      <c r="H183" s="9">
        <f t="shared" si="73"/>
        <v>541.91408644018634</v>
      </c>
      <c r="I183" s="9">
        <f t="shared" si="73"/>
        <v>734.22495898653369</v>
      </c>
      <c r="J183" s="9">
        <f t="shared" si="73"/>
        <v>946.20822279773324</v>
      </c>
      <c r="K183" s="9">
        <f t="shared" si="73"/>
        <v>1179.4874171920017</v>
      </c>
      <c r="L183" s="17"/>
      <c r="M183" s="22"/>
    </row>
    <row r="184" spans="2:13" ht="17" customHeight="1" thickBot="1" x14ac:dyDescent="0.25">
      <c r="C184" s="5" t="s">
        <v>188</v>
      </c>
      <c r="D184" s="74" t="s">
        <v>61</v>
      </c>
      <c r="E184" s="11">
        <f t="shared" ref="E184:K184" si="74">E183+E181</f>
        <v>210.04234595999947</v>
      </c>
      <c r="F184" s="11">
        <f t="shared" si="74"/>
        <v>362.16441700086324</v>
      </c>
      <c r="G184" s="11">
        <f t="shared" si="74"/>
        <v>541.91408644018634</v>
      </c>
      <c r="H184" s="11">
        <f t="shared" si="74"/>
        <v>734.22495898653369</v>
      </c>
      <c r="I184" s="11">
        <f t="shared" si="74"/>
        <v>946.20822279773324</v>
      </c>
      <c r="J184" s="11">
        <f t="shared" si="74"/>
        <v>1179.4874171920017</v>
      </c>
      <c r="K184" s="11">
        <f t="shared" si="74"/>
        <v>1420.3401921613763</v>
      </c>
      <c r="L184" s="17"/>
      <c r="M184" s="22"/>
    </row>
    <row r="185" spans="2:13" ht="17" customHeight="1" thickTop="1" x14ac:dyDescent="0.2">
      <c r="D185" s="73"/>
      <c r="E185"/>
      <c r="F185"/>
      <c r="G185"/>
      <c r="H185"/>
      <c r="I185"/>
      <c r="J185"/>
      <c r="K185"/>
      <c r="L185" s="17"/>
      <c r="M185" s="22"/>
    </row>
    <row r="186" spans="2:13" ht="17" customHeight="1" x14ac:dyDescent="0.2">
      <c r="B186" s="65" t="s">
        <v>189</v>
      </c>
      <c r="C186" s="65"/>
      <c r="D186" s="75"/>
      <c r="E186" s="35"/>
      <c r="F186" s="40"/>
      <c r="G186" s="32" t="s">
        <v>12</v>
      </c>
      <c r="H186" s="32"/>
      <c r="I186" s="32"/>
      <c r="J186" s="32"/>
      <c r="K186" s="32"/>
      <c r="L186" s="17"/>
      <c r="M186" s="22"/>
    </row>
    <row r="187" spans="2:13" ht="17" customHeight="1" x14ac:dyDescent="0.2">
      <c r="B187" s="65"/>
      <c r="C187" s="66"/>
      <c r="D187" s="75"/>
      <c r="E187" s="33">
        <f>Merger_Model!$E$89</f>
        <v>45657</v>
      </c>
      <c r="F187" s="39">
        <f>Merger_Model!$F$89</f>
        <v>46022</v>
      </c>
      <c r="G187" s="39">
        <f>Merger_Model!$G$89</f>
        <v>46387</v>
      </c>
      <c r="H187" s="39">
        <f>Merger_Model!$H$89</f>
        <v>46752</v>
      </c>
      <c r="I187" s="39">
        <f>Merger_Model!$I$89</f>
        <v>47118</v>
      </c>
      <c r="J187" s="39">
        <f>Merger_Model!$J$89</f>
        <v>47483</v>
      </c>
      <c r="K187" s="39">
        <f>Merger_Model!$K$89</f>
        <v>47848</v>
      </c>
      <c r="L187" s="17"/>
      <c r="M187" s="22"/>
    </row>
    <row r="188" spans="2:13" ht="17" customHeight="1" x14ac:dyDescent="0.2">
      <c r="C188" s="8" t="s">
        <v>85</v>
      </c>
      <c r="D188" s="74" t="s">
        <v>61</v>
      </c>
      <c r="E188" s="9">
        <f t="shared" ref="E188:K188" si="75">E102</f>
        <v>490.92169999999942</v>
      </c>
      <c r="F188" s="9">
        <f t="shared" si="75"/>
        <v>533.96582199999966</v>
      </c>
      <c r="G188" s="9">
        <f t="shared" si="75"/>
        <v>568.57454262999977</v>
      </c>
      <c r="H188" s="9">
        <f t="shared" si="75"/>
        <v>606.00996034139962</v>
      </c>
      <c r="I188" s="9">
        <f t="shared" si="75"/>
        <v>638.46662636658698</v>
      </c>
      <c r="J188" s="9">
        <f t="shared" si="75"/>
        <v>670.16522324825428</v>
      </c>
      <c r="K188" s="9">
        <f t="shared" si="75"/>
        <v>695.46977520830046</v>
      </c>
      <c r="L188" s="17"/>
      <c r="M188" s="22"/>
    </row>
    <row r="189" spans="2:13" ht="17" customHeight="1" x14ac:dyDescent="0.2">
      <c r="C189" s="14" t="s">
        <v>161</v>
      </c>
      <c r="D189" s="74" t="s">
        <v>61</v>
      </c>
      <c r="E189" s="9">
        <f t="shared" ref="E189:K190" si="76">E152</f>
        <v>71.127499999999998</v>
      </c>
      <c r="F189" s="9">
        <f t="shared" si="76"/>
        <v>74.768669999999986</v>
      </c>
      <c r="G189" s="9">
        <f t="shared" si="76"/>
        <v>79.721826599999986</v>
      </c>
      <c r="H189" s="9">
        <f t="shared" si="76"/>
        <v>84.025763030999997</v>
      </c>
      <c r="I189" s="9">
        <f t="shared" si="76"/>
        <v>88.238650244148005</v>
      </c>
      <c r="J189" s="9">
        <f t="shared" si="76"/>
        <v>91.531369469903936</v>
      </c>
      <c r="K189" s="9">
        <f t="shared" si="76"/>
        <v>94.555800024882188</v>
      </c>
      <c r="L189" s="17"/>
      <c r="M189" s="22"/>
    </row>
    <row r="190" spans="2:13" ht="17" customHeight="1" x14ac:dyDescent="0.2">
      <c r="C190" s="14" t="s">
        <v>162</v>
      </c>
      <c r="D190" s="74" t="s">
        <v>61</v>
      </c>
      <c r="E190" s="9">
        <f t="shared" si="76"/>
        <v>25.976999999999997</v>
      </c>
      <c r="F190" s="9">
        <f t="shared" si="76"/>
        <v>27.071414999999995</v>
      </c>
      <c r="G190" s="9">
        <f t="shared" si="76"/>
        <v>27.699956700000001</v>
      </c>
      <c r="H190" s="9">
        <f t="shared" si="76"/>
        <v>27.537855110999999</v>
      </c>
      <c r="I190" s="9">
        <f t="shared" si="76"/>
        <v>27.206917158612303</v>
      </c>
      <c r="J190" s="9">
        <f t="shared" si="76"/>
        <v>26.696649428721983</v>
      </c>
      <c r="K190" s="9">
        <f t="shared" si="76"/>
        <v>26.002845006842602</v>
      </c>
      <c r="L190" s="17"/>
      <c r="M190" s="22"/>
    </row>
    <row r="191" spans="2:13" ht="17" customHeight="1" x14ac:dyDescent="0.2">
      <c r="C191" s="14" t="s">
        <v>164</v>
      </c>
      <c r="D191" s="74" t="s">
        <v>61</v>
      </c>
      <c r="E191" s="9">
        <f t="shared" ref="E191:K191" si="77">E155</f>
        <v>0</v>
      </c>
      <c r="F191" s="9">
        <f t="shared" si="77"/>
        <v>0</v>
      </c>
      <c r="G191" s="9">
        <f t="shared" si="77"/>
        <v>0</v>
      </c>
      <c r="H191" s="9">
        <f t="shared" si="77"/>
        <v>0</v>
      </c>
      <c r="I191" s="9">
        <f t="shared" si="77"/>
        <v>0</v>
      </c>
      <c r="J191" s="9">
        <f t="shared" si="77"/>
        <v>0</v>
      </c>
      <c r="K191" s="9">
        <f t="shared" si="77"/>
        <v>0</v>
      </c>
      <c r="L191" s="17"/>
      <c r="M191" s="22"/>
    </row>
    <row r="192" spans="2:13" ht="17" customHeight="1" thickBot="1" x14ac:dyDescent="0.25">
      <c r="C192" s="5" t="s">
        <v>17</v>
      </c>
      <c r="D192" s="74" t="s">
        <v>61</v>
      </c>
      <c r="E192" s="11">
        <f t="shared" ref="E192:K192" si="78">SUM(E188:E191)</f>
        <v>588.02619999999945</v>
      </c>
      <c r="F192" s="11">
        <f t="shared" si="78"/>
        <v>635.80590699999959</v>
      </c>
      <c r="G192" s="11">
        <f t="shared" si="78"/>
        <v>675.99632592999978</v>
      </c>
      <c r="H192" s="11">
        <f t="shared" si="78"/>
        <v>717.57357848339961</v>
      </c>
      <c r="I192" s="11">
        <f t="shared" si="78"/>
        <v>753.91219376934725</v>
      </c>
      <c r="J192" s="11">
        <f t="shared" si="78"/>
        <v>788.3932421468802</v>
      </c>
      <c r="K192" s="11">
        <f t="shared" si="78"/>
        <v>816.02842024002518</v>
      </c>
      <c r="L192" s="17"/>
      <c r="M192" s="22"/>
    </row>
    <row r="193" spans="3:13" ht="17" customHeight="1" thickTop="1" x14ac:dyDescent="0.2">
      <c r="D193" s="73"/>
      <c r="E193"/>
      <c r="F193"/>
      <c r="G193"/>
      <c r="H193"/>
      <c r="I193"/>
      <c r="J193"/>
      <c r="K193"/>
      <c r="L193" s="17"/>
      <c r="M193" s="22"/>
    </row>
    <row r="194" spans="3:13" ht="17" customHeight="1" x14ac:dyDescent="0.2">
      <c r="C194" s="8" t="s">
        <v>190</v>
      </c>
      <c r="D194" s="74" t="s">
        <v>4</v>
      </c>
      <c r="E194" s="68" t="str">
        <f>IFERROR(E90/D90-1, "n/a")</f>
        <v>n/a</v>
      </c>
      <c r="F194" s="68">
        <f t="shared" ref="F194:K194" si="79">IFERROR(F90/E90-1, "n/a")</f>
        <v>4.2130153597413011E-2</v>
      </c>
      <c r="G194" s="68">
        <f t="shared" si="79"/>
        <v>4.8174445258956755E-2</v>
      </c>
      <c r="H194" s="68">
        <f t="shared" si="79"/>
        <v>4.5129893975610402E-2</v>
      </c>
      <c r="I194" s="68">
        <f t="shared" si="79"/>
        <v>4.1386891381124613E-2</v>
      </c>
      <c r="J194" s="68">
        <f t="shared" si="79"/>
        <v>3.7316065200966753E-2</v>
      </c>
      <c r="K194" s="68">
        <f t="shared" si="79"/>
        <v>3.3042557677154694E-2</v>
      </c>
      <c r="L194" s="17"/>
      <c r="M194" s="22"/>
    </row>
    <row r="195" spans="3:13" ht="17" customHeight="1" x14ac:dyDescent="0.2">
      <c r="C195" s="8" t="s">
        <v>191</v>
      </c>
      <c r="D195" s="74" t="s">
        <v>4</v>
      </c>
      <c r="E195" s="61">
        <f>IFERROR(E92/E90, "n/a")</f>
        <v>0.26499999999999996</v>
      </c>
      <c r="F195" s="61">
        <f t="shared" ref="F195:K195" si="80">IFERROR(F92/F90, "n/a")</f>
        <v>0.26599999999999996</v>
      </c>
      <c r="G195" s="61">
        <f t="shared" si="80"/>
        <v>0.26800000000000002</v>
      </c>
      <c r="H195" s="61">
        <f t="shared" si="80"/>
        <v>0.27</v>
      </c>
      <c r="I195" s="61">
        <f t="shared" si="80"/>
        <v>0.27100000000000002</v>
      </c>
      <c r="J195" s="61">
        <f t="shared" si="80"/>
        <v>0.27199999999999996</v>
      </c>
      <c r="K195" s="61">
        <f t="shared" si="80"/>
        <v>0.27200000000000008</v>
      </c>
      <c r="L195" s="17"/>
      <c r="M195" s="22"/>
    </row>
    <row r="196" spans="3:13" ht="17" customHeight="1" x14ac:dyDescent="0.2">
      <c r="C196" s="8" t="s">
        <v>22</v>
      </c>
      <c r="D196" s="74" t="s">
        <v>4</v>
      </c>
      <c r="E196" s="61">
        <f>IFERROR(E192/E90, "n/a")</f>
        <v>9.5072950687146232E-2</v>
      </c>
      <c r="F196" s="61">
        <f t="shared" ref="F196:K196" si="81">F192/F90</f>
        <v>9.8642232384232545E-2</v>
      </c>
      <c r="G196" s="61">
        <f t="shared" si="81"/>
        <v>0.10005737432481254</v>
      </c>
      <c r="H196" s="61">
        <f t="shared" si="81"/>
        <v>0.1016250882577773</v>
      </c>
      <c r="I196" s="61">
        <f t="shared" si="81"/>
        <v>0.10252815858130333</v>
      </c>
      <c r="J196" s="61">
        <f t="shared" si="81"/>
        <v>0.1033603993969882</v>
      </c>
      <c r="K196" s="61">
        <f t="shared" si="81"/>
        <v>0.10356150590765945</v>
      </c>
      <c r="L196" s="17"/>
      <c r="M196" s="22"/>
    </row>
    <row r="197" spans="3:13" ht="17" customHeight="1" x14ac:dyDescent="0.2">
      <c r="C197" s="8" t="s">
        <v>192</v>
      </c>
      <c r="D197" s="74" t="s">
        <v>4</v>
      </c>
      <c r="E197" s="61">
        <f t="shared" ref="E197:K197" si="82">E102/E90</f>
        <v>7.9372950687146226E-2</v>
      </c>
      <c r="F197" s="61">
        <f t="shared" si="82"/>
        <v>8.284223238423255E-2</v>
      </c>
      <c r="G197" s="61">
        <f t="shared" si="82"/>
        <v>8.4157374324812545E-2</v>
      </c>
      <c r="H197" s="61">
        <f t="shared" si="82"/>
        <v>8.5825088257777293E-2</v>
      </c>
      <c r="I197" s="61">
        <f t="shared" si="82"/>
        <v>8.6828158581303341E-2</v>
      </c>
      <c r="J197" s="61">
        <f t="shared" si="82"/>
        <v>8.7860399396988198E-2</v>
      </c>
      <c r="K197" s="61">
        <f t="shared" si="82"/>
        <v>8.8261505907659452E-2</v>
      </c>
      <c r="L197" s="17"/>
      <c r="M197" s="22"/>
    </row>
    <row r="198" spans="3:13" ht="17" customHeight="1" x14ac:dyDescent="0.2">
      <c r="C198" s="8" t="s">
        <v>193</v>
      </c>
      <c r="D198" s="74" t="s">
        <v>4</v>
      </c>
      <c r="E198" s="61">
        <f>IFERROR(E108/E90, "n/a")</f>
        <v>4.8482080355699203E-2</v>
      </c>
      <c r="F198" s="61">
        <f t="shared" ref="F198:K198" si="83">F108/F90</f>
        <v>5.2537497604563728E-2</v>
      </c>
      <c r="G198" s="61">
        <f t="shared" si="83"/>
        <v>5.543104623889876E-2</v>
      </c>
      <c r="H198" s="61">
        <f t="shared" si="83"/>
        <v>5.8588518469426462E-2</v>
      </c>
      <c r="I198" s="61">
        <f t="shared" si="83"/>
        <v>6.1182593845601298E-2</v>
      </c>
      <c r="J198" s="61">
        <f t="shared" si="83"/>
        <v>6.377913861171515E-2</v>
      </c>
      <c r="K198" s="61">
        <f t="shared" si="83"/>
        <v>6.5895477504582106E-2</v>
      </c>
      <c r="L198" s="17"/>
      <c r="M198" s="22"/>
    </row>
    <row r="199" spans="3:13" ht="17" customHeight="1" x14ac:dyDescent="0.2">
      <c r="D199" s="73"/>
      <c r="E199"/>
      <c r="F199"/>
      <c r="G199"/>
      <c r="H199"/>
      <c r="I199"/>
      <c r="J199"/>
      <c r="K199"/>
      <c r="L199" s="17"/>
      <c r="M199" s="22"/>
    </row>
    <row r="200" spans="3:13" ht="17" customHeight="1" x14ac:dyDescent="0.2">
      <c r="C200" s="8" t="s">
        <v>35</v>
      </c>
      <c r="D200" s="74" t="s">
        <v>4</v>
      </c>
      <c r="E200" s="61">
        <f t="shared" ref="E200:K200" si="84">IFERROR(-E107/E106,0)</f>
        <v>0.24</v>
      </c>
      <c r="F200" s="61">
        <f t="shared" si="84"/>
        <v>0.23999999999999996</v>
      </c>
      <c r="G200" s="61">
        <f t="shared" si="84"/>
        <v>0.24</v>
      </c>
      <c r="H200" s="61">
        <f t="shared" si="84"/>
        <v>0.24000000000000002</v>
      </c>
      <c r="I200" s="61">
        <f t="shared" si="84"/>
        <v>0.24</v>
      </c>
      <c r="J200" s="61">
        <f t="shared" si="84"/>
        <v>0.24</v>
      </c>
      <c r="K200" s="61">
        <f t="shared" si="84"/>
        <v>0.24</v>
      </c>
      <c r="L200" s="17"/>
      <c r="M200" s="22"/>
    </row>
    <row r="201" spans="3:13" ht="17" customHeight="1" x14ac:dyDescent="0.2">
      <c r="C201" s="8" t="s">
        <v>106</v>
      </c>
      <c r="D201" s="74" t="s">
        <v>4</v>
      </c>
      <c r="E201" s="62">
        <f t="shared" ref="E201:K201" si="85">E189/E90</f>
        <v>1.15E-2</v>
      </c>
      <c r="F201" s="62">
        <f t="shared" si="85"/>
        <v>1.1599999999999999E-2</v>
      </c>
      <c r="G201" s="62">
        <f t="shared" si="85"/>
        <v>1.1799999999999998E-2</v>
      </c>
      <c r="H201" s="62">
        <f t="shared" si="85"/>
        <v>1.1900000000000001E-2</v>
      </c>
      <c r="I201" s="62">
        <f t="shared" si="85"/>
        <v>1.2E-2</v>
      </c>
      <c r="J201" s="62">
        <f t="shared" si="85"/>
        <v>1.2E-2</v>
      </c>
      <c r="K201" s="62">
        <f t="shared" si="85"/>
        <v>1.2E-2</v>
      </c>
      <c r="L201" s="17"/>
      <c r="M201" s="22"/>
    </row>
    <row r="202" spans="3:13" ht="17" customHeight="1" x14ac:dyDescent="0.2">
      <c r="C202" s="8" t="s">
        <v>118</v>
      </c>
      <c r="D202" s="74" t="s">
        <v>4</v>
      </c>
      <c r="E202" s="62">
        <f t="shared" ref="E202:K202" si="86">-E169/E90</f>
        <v>1.2999999999999999E-2</v>
      </c>
      <c r="F202" s="62">
        <f t="shared" si="86"/>
        <v>1.2999999999999999E-2</v>
      </c>
      <c r="G202" s="62">
        <f t="shared" si="86"/>
        <v>1.35E-2</v>
      </c>
      <c r="H202" s="62">
        <f t="shared" si="86"/>
        <v>1.35E-2</v>
      </c>
      <c r="I202" s="62">
        <f t="shared" si="86"/>
        <v>1.2999999999999999E-2</v>
      </c>
      <c r="J202" s="62">
        <f t="shared" si="86"/>
        <v>1.2999999999999999E-2</v>
      </c>
      <c r="K202" s="62">
        <f t="shared" si="86"/>
        <v>1.2500000000000001E-2</v>
      </c>
      <c r="L202" s="17"/>
      <c r="M202" s="22"/>
    </row>
    <row r="203" spans="3:13" ht="17" customHeight="1" x14ac:dyDescent="0.2">
      <c r="D203" s="73"/>
      <c r="E203"/>
      <c r="F203"/>
      <c r="G203"/>
      <c r="H203"/>
      <c r="I203"/>
      <c r="J203"/>
      <c r="K203"/>
      <c r="L203" s="17"/>
      <c r="M203" s="22"/>
    </row>
    <row r="204" spans="3:13" ht="17" customHeight="1" x14ac:dyDescent="0.2">
      <c r="C204" s="8" t="s">
        <v>194</v>
      </c>
      <c r="D204" s="74" t="s">
        <v>2</v>
      </c>
      <c r="E204" s="63">
        <f t="shared" ref="E204:K204" si="87">E135/E192</f>
        <v>2.8059974198428601</v>
      </c>
      <c r="F204" s="63">
        <f t="shared" si="87"/>
        <v>2.413000544834512</v>
      </c>
      <c r="G204" s="63">
        <f t="shared" si="87"/>
        <v>2.0829994868134989</v>
      </c>
      <c r="H204" s="63">
        <f t="shared" si="87"/>
        <v>1.77222244259293</v>
      </c>
      <c r="I204" s="63">
        <f t="shared" si="87"/>
        <v>1.4922162146964608</v>
      </c>
      <c r="J204" s="63">
        <f t="shared" si="87"/>
        <v>1.2278136699447488</v>
      </c>
      <c r="K204" s="63">
        <f t="shared" si="87"/>
        <v>0.98121582550333664</v>
      </c>
      <c r="L204" s="17"/>
      <c r="M204" s="22"/>
    </row>
    <row r="205" spans="3:13" ht="17" customHeight="1" x14ac:dyDescent="0.2">
      <c r="C205" s="8" t="s">
        <v>195</v>
      </c>
      <c r="D205" s="74" t="s">
        <v>2</v>
      </c>
      <c r="E205" s="63">
        <f t="shared" ref="E205:K205" si="88">(E135-E116)/E192</f>
        <v>2.4487984617692238</v>
      </c>
      <c r="F205" s="63">
        <f t="shared" si="88"/>
        <v>1.8433858038993298</v>
      </c>
      <c r="G205" s="63">
        <f t="shared" si="88"/>
        <v>1.2813470729565895</v>
      </c>
      <c r="H205" s="63">
        <f t="shared" si="88"/>
        <v>0.74901732328192228</v>
      </c>
      <c r="I205" s="63">
        <f t="shared" si="88"/>
        <v>0.23715199021832842</v>
      </c>
      <c r="J205" s="63">
        <f t="shared" si="88"/>
        <v>-0.26825117959674349</v>
      </c>
      <c r="K205" s="63">
        <f t="shared" si="88"/>
        <v>-0.7593365338662057</v>
      </c>
      <c r="L205" s="17"/>
      <c r="M205" s="22"/>
    </row>
    <row r="206" spans="3:13" ht="17" customHeight="1" x14ac:dyDescent="0.2">
      <c r="C206" s="8" t="s">
        <v>196</v>
      </c>
      <c r="D206" s="74" t="s">
        <v>2</v>
      </c>
      <c r="E206" s="63">
        <f t="shared" ref="E206:K206" si="89">IFERROR(E192/-E103,0)</f>
        <v>5.9612228579393838</v>
      </c>
      <c r="F206" s="63">
        <f t="shared" si="89"/>
        <v>6.6405653201316985</v>
      </c>
      <c r="G206" s="63">
        <f t="shared" si="89"/>
        <v>7.6391426363943244</v>
      </c>
      <c r="H206" s="63">
        <f t="shared" si="89"/>
        <v>8.8980129207401593</v>
      </c>
      <c r="I206" s="63">
        <f t="shared" si="89"/>
        <v>10.441255987983503</v>
      </c>
      <c r="J206" s="63">
        <f t="shared" si="89"/>
        <v>12.479760060893648</v>
      </c>
      <c r="K206" s="63">
        <f t="shared" si="89"/>
        <v>15.23859039059246</v>
      </c>
      <c r="L206" s="17"/>
      <c r="M206" s="22"/>
    </row>
    <row r="207" spans="3:13" ht="17" customHeight="1" x14ac:dyDescent="0.2">
      <c r="C207" s="5" t="s">
        <v>197</v>
      </c>
      <c r="D207" s="74" t="s">
        <v>61</v>
      </c>
      <c r="E207" s="7">
        <f t="shared" ref="E207:K207" si="90">E102*(1-$E$10)+E189+E190+E157+E166+E169+E170</f>
        <v>341.36317095999948</v>
      </c>
      <c r="F207" s="7">
        <f t="shared" si="90"/>
        <v>402.05410463832771</v>
      </c>
      <c r="G207" s="7">
        <f t="shared" si="90"/>
        <v>439.55230734710022</v>
      </c>
      <c r="H207" s="7">
        <f t="shared" si="90"/>
        <v>460.81482007503837</v>
      </c>
      <c r="I207" s="7">
        <f t="shared" si="90"/>
        <v>488.4397565118565</v>
      </c>
      <c r="J207" s="7">
        <f t="shared" si="90"/>
        <v>516.76478612487119</v>
      </c>
      <c r="K207" s="7">
        <f t="shared" si="90"/>
        <v>530.41348466626152</v>
      </c>
      <c r="L207" s="17"/>
      <c r="M207" s="22"/>
    </row>
    <row r="208" spans="3:13" x14ac:dyDescent="0.2">
      <c r="E208"/>
      <c r="F208"/>
      <c r="G208"/>
      <c r="H208"/>
      <c r="I208"/>
      <c r="J208"/>
      <c r="K208"/>
      <c r="L208" s="17"/>
      <c r="M208" s="22"/>
    </row>
    <row r="209" spans="2:13" x14ac:dyDescent="0.2">
      <c r="E209"/>
      <c r="F209"/>
      <c r="G209"/>
      <c r="H209"/>
      <c r="I209"/>
      <c r="J209"/>
      <c r="K209"/>
      <c r="L209" s="17"/>
      <c r="M209" s="22"/>
    </row>
    <row r="210" spans="2:13" x14ac:dyDescent="0.2">
      <c r="E210"/>
      <c r="F210"/>
      <c r="G210"/>
      <c r="H210"/>
      <c r="I210"/>
      <c r="J210"/>
      <c r="K210"/>
      <c r="L210" s="17"/>
      <c r="M210" s="22"/>
    </row>
    <row r="211" spans="2:13" x14ac:dyDescent="0.2">
      <c r="B211" s="17"/>
      <c r="C211" s="17"/>
      <c r="D211" s="17"/>
      <c r="E211" s="43"/>
      <c r="F211" s="46"/>
      <c r="G211" s="46"/>
      <c r="H211" s="46"/>
      <c r="I211" s="46"/>
      <c r="J211" s="46"/>
      <c r="K211" s="46"/>
      <c r="L211" s="17"/>
      <c r="M211" s="22"/>
    </row>
    <row r="212" spans="2:13" x14ac:dyDescent="0.2">
      <c r="B212" s="17"/>
      <c r="C212" s="37"/>
      <c r="D212" s="34"/>
      <c r="E212" s="42"/>
      <c r="F212" s="46"/>
      <c r="G212" s="46"/>
      <c r="H212" s="46"/>
      <c r="I212" s="46"/>
      <c r="J212" s="46"/>
      <c r="K212" s="46"/>
      <c r="L212" s="17"/>
      <c r="M212" s="24"/>
    </row>
    <row r="213" spans="2:13" x14ac:dyDescent="0.2">
      <c r="B213" s="17"/>
      <c r="C213" s="37"/>
      <c r="D213" s="34"/>
      <c r="E213" s="42"/>
      <c r="F213" s="47"/>
      <c r="G213" s="47"/>
      <c r="H213" s="47"/>
      <c r="I213" s="47"/>
      <c r="J213" s="47"/>
      <c r="K213" s="47"/>
      <c r="L213" s="17"/>
      <c r="M213" s="24"/>
    </row>
  </sheetData>
  <pageMargins left="0.7" right="0.7" top="0.75" bottom="0.75" header="0.3" footer="0.3"/>
  <ignoredErrors>
    <ignoredError sqref="F154:K154 F175:K17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4B35-8EE0-554C-B7E6-4D5E9D449913}">
  <dimension ref="A1:Z213"/>
  <sheetViews>
    <sheetView showGridLines="0" workbookViewId="0">
      <pane xSplit="4" ySplit="6" topLeftCell="E140" activePane="bottomRight" state="frozen"/>
      <selection pane="topRight" activeCell="E1" sqref="E1"/>
      <selection pane="bottomLeft" activeCell="A7" sqref="A7"/>
      <selection pane="bottomRight" activeCell="E91" sqref="E91"/>
    </sheetView>
  </sheetViews>
  <sheetFormatPr baseColWidth="10" defaultRowHeight="16" x14ac:dyDescent="0.2"/>
  <cols>
    <col min="1" max="2" width="2.83203125" customWidth="1"/>
    <col min="3" max="3" width="50.83203125" customWidth="1"/>
    <col min="5" max="5" width="11.83203125" style="45" bestFit="1" customWidth="1"/>
    <col min="6" max="6" width="8.6640625" style="45" bestFit="1" customWidth="1"/>
    <col min="7" max="10" width="11.1640625" style="45" bestFit="1" customWidth="1"/>
    <col min="11" max="11" width="11" style="45" bestFit="1" customWidth="1"/>
    <col min="12" max="12" width="3.6640625" customWidth="1"/>
    <col min="13" max="13" width="89.83203125" style="12" customWidth="1"/>
  </cols>
  <sheetData>
    <row r="1" spans="2:26" x14ac:dyDescent="0.2">
      <c r="E1"/>
      <c r="F1"/>
      <c r="G1"/>
      <c r="H1"/>
      <c r="I1"/>
      <c r="J1"/>
      <c r="K1"/>
      <c r="M1"/>
    </row>
    <row r="2" spans="2:26" ht="19" x14ac:dyDescent="0.2">
      <c r="B2" s="91" t="s">
        <v>221</v>
      </c>
      <c r="C2" s="17"/>
      <c r="D2" s="17"/>
      <c r="E2" s="17"/>
      <c r="F2" s="17"/>
      <c r="G2" s="17"/>
      <c r="H2" s="17"/>
      <c r="I2" s="17"/>
      <c r="J2" s="17"/>
      <c r="K2" s="17"/>
      <c r="L2" s="17"/>
      <c r="M2" s="17"/>
    </row>
    <row r="3" spans="2:26" x14ac:dyDescent="0.2">
      <c r="B3" s="22" t="s">
        <v>785</v>
      </c>
      <c r="C3" s="17"/>
      <c r="D3" s="17"/>
      <c r="E3" s="17"/>
      <c r="F3" s="17"/>
      <c r="G3" s="17"/>
      <c r="H3" s="17"/>
      <c r="I3" s="17"/>
      <c r="J3" s="17"/>
      <c r="K3" s="17"/>
      <c r="L3" s="17"/>
      <c r="M3" s="17"/>
    </row>
    <row r="4" spans="2:26" x14ac:dyDescent="0.2">
      <c r="B4" s="22" t="s">
        <v>223</v>
      </c>
      <c r="C4" s="17"/>
      <c r="D4" s="17"/>
      <c r="E4" s="17"/>
      <c r="F4" s="17"/>
      <c r="G4" s="17"/>
      <c r="H4" s="17"/>
      <c r="I4" s="17"/>
      <c r="J4" s="17"/>
      <c r="K4" s="17"/>
      <c r="L4" s="17"/>
      <c r="M4" s="17"/>
    </row>
    <row r="5" spans="2:26" x14ac:dyDescent="0.2">
      <c r="B5" s="19" t="s">
        <v>92</v>
      </c>
      <c r="C5" s="19"/>
      <c r="D5" s="20" t="s">
        <v>786</v>
      </c>
      <c r="E5" s="19"/>
      <c r="F5" s="19"/>
      <c r="G5" s="19"/>
      <c r="H5" s="19"/>
      <c r="I5" s="19"/>
      <c r="J5" s="19"/>
      <c r="K5" s="19"/>
      <c r="L5" s="21"/>
      <c r="M5" s="17"/>
    </row>
    <row r="6" spans="2:26" x14ac:dyDescent="0.2">
      <c r="B6" s="17"/>
      <c r="C6" s="17"/>
      <c r="D6" s="17"/>
      <c r="E6" s="17"/>
      <c r="F6" s="17"/>
      <c r="G6" s="17"/>
      <c r="H6" s="17"/>
      <c r="I6" s="17"/>
      <c r="J6" s="17"/>
      <c r="K6" s="17"/>
      <c r="L6" s="17"/>
      <c r="M6" s="17"/>
    </row>
    <row r="7" spans="2:26" x14ac:dyDescent="0.2">
      <c r="B7" s="17"/>
      <c r="C7" s="17" t="s">
        <v>44</v>
      </c>
      <c r="D7" s="22" t="s">
        <v>9</v>
      </c>
      <c r="E7" s="3" t="s">
        <v>219</v>
      </c>
      <c r="F7" s="17"/>
      <c r="G7" s="17"/>
      <c r="H7" s="17"/>
      <c r="I7" s="17"/>
      <c r="J7" s="17"/>
      <c r="K7" s="17"/>
      <c r="L7" s="17"/>
      <c r="M7" s="22"/>
    </row>
    <row r="8" spans="2:26" x14ac:dyDescent="0.2">
      <c r="B8" s="17"/>
      <c r="C8" s="17" t="s">
        <v>43</v>
      </c>
      <c r="D8" s="22" t="s">
        <v>9</v>
      </c>
      <c r="E8" s="3" t="s">
        <v>220</v>
      </c>
      <c r="F8" s="17"/>
      <c r="G8" s="17"/>
      <c r="H8" s="17"/>
      <c r="I8" s="17"/>
      <c r="J8" s="17"/>
      <c r="K8" s="17"/>
      <c r="L8" s="17"/>
      <c r="M8" s="22"/>
    </row>
    <row r="9" spans="2:26" x14ac:dyDescent="0.2">
      <c r="B9" s="17"/>
      <c r="C9" s="17" t="s">
        <v>10</v>
      </c>
      <c r="D9" s="22" t="s">
        <v>0</v>
      </c>
      <c r="E9" s="92">
        <v>45657</v>
      </c>
      <c r="F9" s="17"/>
      <c r="G9" s="17"/>
      <c r="H9" s="17"/>
      <c r="I9" s="17"/>
      <c r="J9" s="17"/>
      <c r="K9" s="17"/>
      <c r="L9" s="17"/>
      <c r="M9" s="22"/>
    </row>
    <row r="10" spans="2:26" x14ac:dyDescent="0.2">
      <c r="B10" s="17"/>
      <c r="C10" s="17" t="s">
        <v>8</v>
      </c>
      <c r="D10" s="22" t="s">
        <v>4</v>
      </c>
      <c r="E10" s="93">
        <v>0.245</v>
      </c>
      <c r="F10" s="17"/>
      <c r="G10" s="17"/>
      <c r="H10" s="17"/>
      <c r="I10" s="17"/>
      <c r="J10" s="17"/>
      <c r="K10" s="17"/>
      <c r="L10" s="17"/>
      <c r="M10" s="22" t="s">
        <v>206</v>
      </c>
      <c r="W10" s="1"/>
      <c r="X10" s="1"/>
      <c r="Y10" s="1"/>
      <c r="Z10" s="1"/>
    </row>
    <row r="11" spans="2:26" x14ac:dyDescent="0.2">
      <c r="B11" s="17"/>
      <c r="C11" s="17" t="s">
        <v>47</v>
      </c>
      <c r="D11" s="22" t="s">
        <v>3</v>
      </c>
      <c r="E11" s="94">
        <v>37.799999999999997</v>
      </c>
      <c r="F11" s="17"/>
      <c r="G11" s="17"/>
      <c r="H11" s="17"/>
      <c r="I11" s="17"/>
      <c r="J11" s="17"/>
      <c r="K11" s="17"/>
      <c r="L11" s="17"/>
      <c r="M11" s="22" t="s">
        <v>69</v>
      </c>
      <c r="V11" s="2"/>
      <c r="W11" s="1"/>
      <c r="X11" s="1"/>
      <c r="Y11" s="1"/>
      <c r="Z11" s="1"/>
    </row>
    <row r="12" spans="2:26" x14ac:dyDescent="0.2">
      <c r="B12" s="17"/>
      <c r="C12" s="17"/>
      <c r="D12" s="22"/>
      <c r="E12" s="94"/>
      <c r="F12" s="17"/>
      <c r="G12" s="17"/>
      <c r="H12" s="17"/>
      <c r="I12" s="17"/>
      <c r="J12" s="17"/>
      <c r="K12" s="17"/>
      <c r="L12" s="17"/>
      <c r="M12" s="22"/>
      <c r="V12" s="2"/>
      <c r="W12" s="1"/>
      <c r="X12" s="1"/>
      <c r="Y12" s="1"/>
      <c r="Z12" s="1"/>
    </row>
    <row r="13" spans="2:26" x14ac:dyDescent="0.2">
      <c r="B13" s="17"/>
      <c r="C13" s="17" t="s">
        <v>48</v>
      </c>
      <c r="D13" s="22" t="s">
        <v>49</v>
      </c>
      <c r="E13" s="4">
        <v>54.2</v>
      </c>
      <c r="F13" s="17"/>
      <c r="G13" s="17"/>
      <c r="H13" s="17"/>
      <c r="I13" s="17"/>
      <c r="J13" s="17"/>
      <c r="K13" s="17"/>
      <c r="L13" s="17"/>
      <c r="M13" s="22"/>
      <c r="P13" s="89" t="s">
        <v>52</v>
      </c>
      <c r="Q13" s="90"/>
      <c r="R13" s="90"/>
      <c r="S13" s="90"/>
      <c r="T13" s="90"/>
      <c r="V13" s="2"/>
      <c r="W13" s="1"/>
      <c r="X13" s="1"/>
      <c r="Y13" s="1"/>
      <c r="Z13" s="1"/>
    </row>
    <row r="14" spans="2:26" x14ac:dyDescent="0.2">
      <c r="B14" s="17"/>
      <c r="C14" s="17" t="s">
        <v>50</v>
      </c>
      <c r="D14" s="22" t="s">
        <v>49</v>
      </c>
      <c r="E14" s="95">
        <f>T20</f>
        <v>1.3936507936507936</v>
      </c>
      <c r="F14" s="17"/>
      <c r="G14" s="17"/>
      <c r="H14" s="17"/>
      <c r="I14" s="17"/>
      <c r="J14" s="17"/>
      <c r="K14" s="17"/>
      <c r="L14" s="17"/>
      <c r="M14" s="22" t="s">
        <v>70</v>
      </c>
      <c r="P14" s="90"/>
      <c r="Q14" s="90"/>
      <c r="R14" s="90"/>
      <c r="S14" s="90"/>
      <c r="T14" s="90"/>
      <c r="V14" s="2"/>
      <c r="W14" s="1"/>
      <c r="X14" s="1"/>
      <c r="Y14" s="1"/>
      <c r="Z14" s="1"/>
    </row>
    <row r="15" spans="2:26" x14ac:dyDescent="0.2">
      <c r="B15" s="17"/>
      <c r="C15" s="16" t="s">
        <v>51</v>
      </c>
      <c r="D15" s="69" t="s">
        <v>49</v>
      </c>
      <c r="E15" s="96">
        <f>SUM(E13:E14)</f>
        <v>55.593650793650795</v>
      </c>
      <c r="F15" s="17"/>
      <c r="G15" s="17"/>
      <c r="H15" s="17"/>
      <c r="I15" s="17"/>
      <c r="J15" s="17"/>
      <c r="K15" s="17"/>
      <c r="L15" s="17"/>
      <c r="M15" s="22"/>
      <c r="P15" s="113" t="s">
        <v>11</v>
      </c>
      <c r="Q15" s="114"/>
      <c r="R15" s="113" t="s">
        <v>57</v>
      </c>
      <c r="S15" s="113" t="s">
        <v>58</v>
      </c>
      <c r="T15" s="113" t="s">
        <v>59</v>
      </c>
      <c r="V15" s="2"/>
      <c r="W15" s="1"/>
      <c r="X15" s="1"/>
      <c r="Y15" s="1"/>
      <c r="Z15" s="1"/>
    </row>
    <row r="16" spans="2:26" x14ac:dyDescent="0.2">
      <c r="B16" s="17"/>
      <c r="C16" s="17"/>
      <c r="D16" s="70"/>
      <c r="E16" s="17"/>
      <c r="F16" s="17"/>
      <c r="G16" s="17"/>
      <c r="H16" s="17"/>
      <c r="I16" s="17"/>
      <c r="J16" s="17"/>
      <c r="K16" s="17"/>
      <c r="L16" s="17"/>
      <c r="M16" s="22"/>
      <c r="P16" s="17" t="s">
        <v>53</v>
      </c>
      <c r="Q16" s="87"/>
      <c r="R16" s="4">
        <v>1.9</v>
      </c>
      <c r="S16" s="23">
        <v>24</v>
      </c>
      <c r="T16" s="29">
        <f>IF($E$11&gt;S16,R16-R16*S16/$E$11, 0)</f>
        <v>0.69365079365079363</v>
      </c>
    </row>
    <row r="17" spans="2:20" x14ac:dyDescent="0.2">
      <c r="B17" s="17"/>
      <c r="C17" s="25" t="s">
        <v>60</v>
      </c>
      <c r="D17" s="22" t="s">
        <v>61</v>
      </c>
      <c r="E17" s="7">
        <f>E15*E11</f>
        <v>2101.44</v>
      </c>
      <c r="F17" s="17"/>
      <c r="G17" s="17"/>
      <c r="H17" s="17"/>
      <c r="I17" s="17"/>
      <c r="J17" s="17"/>
      <c r="K17" s="17"/>
      <c r="L17" s="17"/>
      <c r="M17" s="22"/>
      <c r="P17" s="17" t="s">
        <v>54</v>
      </c>
      <c r="Q17" s="87"/>
      <c r="R17" s="4">
        <v>0.7</v>
      </c>
      <c r="S17" s="88" t="s">
        <v>55</v>
      </c>
      <c r="T17" s="29">
        <f>R17</f>
        <v>0.7</v>
      </c>
    </row>
    <row r="18" spans="2:20" x14ac:dyDescent="0.2">
      <c r="B18" s="17"/>
      <c r="C18" s="17" t="s">
        <v>62</v>
      </c>
      <c r="D18" s="22" t="s">
        <v>61</v>
      </c>
      <c r="E18" s="9">
        <f>-E116</f>
        <v>-118.00791889000004</v>
      </c>
      <c r="F18" s="17"/>
      <c r="G18" s="17"/>
      <c r="H18" s="17"/>
      <c r="I18" s="17"/>
      <c r="J18" s="17"/>
      <c r="K18" s="17"/>
      <c r="L18" s="17"/>
      <c r="M18" s="22"/>
      <c r="T18" s="17"/>
    </row>
    <row r="19" spans="2:20" x14ac:dyDescent="0.2">
      <c r="B19" s="17"/>
      <c r="C19" s="17" t="s">
        <v>63</v>
      </c>
      <c r="D19" s="22" t="s">
        <v>61</v>
      </c>
      <c r="E19" s="9">
        <f>E135</f>
        <v>545</v>
      </c>
      <c r="F19" s="17"/>
      <c r="G19" s="17"/>
      <c r="H19" s="17"/>
      <c r="I19" s="17"/>
      <c r="J19" s="17"/>
      <c r="K19" s="17"/>
      <c r="L19" s="17"/>
      <c r="M19" s="22"/>
      <c r="P19" s="1"/>
      <c r="Q19" s="1"/>
      <c r="R19" s="1"/>
      <c r="S19" s="1"/>
      <c r="T19" s="17"/>
    </row>
    <row r="20" spans="2:20" x14ac:dyDescent="0.2">
      <c r="B20" s="17"/>
      <c r="C20" s="17" t="s">
        <v>64</v>
      </c>
      <c r="D20" s="22" t="s">
        <v>61</v>
      </c>
      <c r="E20" s="10">
        <v>0</v>
      </c>
      <c r="F20" s="17"/>
      <c r="G20" s="17"/>
      <c r="H20" s="17"/>
      <c r="I20" s="17"/>
      <c r="J20" s="17"/>
      <c r="K20" s="17"/>
      <c r="L20" s="17"/>
      <c r="M20" s="22" t="s">
        <v>131</v>
      </c>
      <c r="P20" s="83" t="s">
        <v>56</v>
      </c>
      <c r="Q20" s="84"/>
      <c r="R20" s="85">
        <f>SUM(R16:R17)</f>
        <v>2.5999999999999996</v>
      </c>
      <c r="S20" s="84"/>
      <c r="T20" s="86">
        <f>SUM(T16:T17)</f>
        <v>1.3936507936507936</v>
      </c>
    </row>
    <row r="21" spans="2:20" x14ac:dyDescent="0.2">
      <c r="B21" s="17"/>
      <c r="C21" s="17" t="s">
        <v>65</v>
      </c>
      <c r="D21" s="22" t="s">
        <v>61</v>
      </c>
      <c r="E21" s="10">
        <v>0</v>
      </c>
      <c r="F21" s="17"/>
      <c r="G21" s="17"/>
      <c r="H21" s="17"/>
      <c r="I21" s="17"/>
      <c r="J21" s="17"/>
      <c r="K21" s="17"/>
      <c r="L21" s="17"/>
      <c r="M21" s="22"/>
    </row>
    <row r="22" spans="2:20" x14ac:dyDescent="0.2">
      <c r="B22" s="17"/>
      <c r="C22" s="17" t="s">
        <v>66</v>
      </c>
      <c r="D22" s="22" t="s">
        <v>61</v>
      </c>
      <c r="E22" s="10">
        <v>0</v>
      </c>
      <c r="F22" s="17"/>
      <c r="G22" s="17"/>
      <c r="H22" s="17"/>
      <c r="I22" s="17"/>
      <c r="J22" s="17"/>
      <c r="K22" s="17"/>
      <c r="L22" s="17"/>
      <c r="M22" s="22"/>
    </row>
    <row r="23" spans="2:20" x14ac:dyDescent="0.2">
      <c r="B23" s="17"/>
      <c r="C23" s="17" t="s">
        <v>67</v>
      </c>
      <c r="D23" s="22" t="s">
        <v>61</v>
      </c>
      <c r="E23" s="10">
        <v>0</v>
      </c>
      <c r="F23" s="17"/>
      <c r="G23" s="17"/>
      <c r="H23" s="17"/>
      <c r="I23" s="17"/>
      <c r="J23" s="17"/>
      <c r="K23" s="17"/>
      <c r="L23" s="17"/>
      <c r="M23" s="22" t="s">
        <v>130</v>
      </c>
    </row>
    <row r="24" spans="2:20" ht="17" thickBot="1" x14ac:dyDescent="0.25">
      <c r="B24" s="17"/>
      <c r="C24" s="25" t="s">
        <v>68</v>
      </c>
      <c r="D24" s="22" t="s">
        <v>61</v>
      </c>
      <c r="E24" s="11">
        <f>SUM(E17:E23)</f>
        <v>2528.4320811100001</v>
      </c>
      <c r="F24" s="17"/>
      <c r="G24" s="17"/>
      <c r="H24" s="17"/>
      <c r="I24" s="17"/>
      <c r="J24" s="17"/>
      <c r="K24" s="17"/>
      <c r="L24" s="17"/>
      <c r="M24" s="22"/>
    </row>
    <row r="25" spans="2:20" ht="17" thickTop="1" x14ac:dyDescent="0.2">
      <c r="B25" s="17"/>
      <c r="C25" s="17"/>
      <c r="D25" s="18"/>
      <c r="E25" s="17"/>
      <c r="F25" s="17"/>
      <c r="G25" s="17"/>
      <c r="H25" s="17"/>
      <c r="I25" s="17"/>
      <c r="J25" s="17"/>
      <c r="K25" s="17"/>
      <c r="L25" s="17"/>
      <c r="M25" s="22"/>
    </row>
    <row r="26" spans="2:20" x14ac:dyDescent="0.2">
      <c r="B26" s="17"/>
      <c r="C26" s="17" t="s">
        <v>199</v>
      </c>
      <c r="D26" s="18" t="s">
        <v>2</v>
      </c>
      <c r="E26" s="82">
        <f>E24/E192</f>
        <v>8.9454079516676721</v>
      </c>
      <c r="F26" s="17"/>
      <c r="G26" s="17"/>
      <c r="H26" s="26"/>
      <c r="I26" s="17"/>
      <c r="J26" s="27"/>
      <c r="K26" s="28"/>
      <c r="L26" s="29"/>
      <c r="M26" s="22"/>
    </row>
    <row r="27" spans="2:20" x14ac:dyDescent="0.2">
      <c r="B27" s="17"/>
      <c r="C27" s="17" t="s">
        <v>200</v>
      </c>
      <c r="D27" s="18" t="s">
        <v>2</v>
      </c>
      <c r="E27" s="82">
        <f>E24/F192</f>
        <v>7.9580209320249367</v>
      </c>
      <c r="F27" s="17"/>
      <c r="G27" s="17"/>
      <c r="H27" s="17"/>
      <c r="I27" s="17"/>
      <c r="J27" s="17"/>
      <c r="K27" s="17"/>
      <c r="L27" s="17"/>
      <c r="M27" s="22"/>
    </row>
    <row r="28" spans="2:20" x14ac:dyDescent="0.2">
      <c r="B28" s="17"/>
      <c r="C28" s="17" t="s">
        <v>201</v>
      </c>
      <c r="D28" s="18" t="s">
        <v>2</v>
      </c>
      <c r="E28" s="82">
        <f>E11/E111</f>
        <v>14.447803244960969</v>
      </c>
      <c r="F28" s="17"/>
      <c r="G28" s="17"/>
      <c r="H28" s="17"/>
      <c r="I28" s="17"/>
      <c r="J28" s="17"/>
      <c r="K28" s="17"/>
      <c r="L28" s="17"/>
      <c r="M28" s="22"/>
    </row>
    <row r="29" spans="2:20" x14ac:dyDescent="0.2">
      <c r="B29" s="17"/>
      <c r="C29" s="17"/>
      <c r="D29" s="17"/>
      <c r="E29" s="17"/>
      <c r="F29" s="17"/>
      <c r="G29" s="17"/>
      <c r="H29" s="17"/>
      <c r="I29" s="17"/>
      <c r="J29" s="17"/>
      <c r="K29" s="17"/>
      <c r="L29" s="17"/>
      <c r="M29" s="22"/>
    </row>
    <row r="30" spans="2:20" x14ac:dyDescent="0.2">
      <c r="B30" s="17"/>
      <c r="C30" s="17"/>
      <c r="D30" s="17"/>
      <c r="E30" s="17"/>
      <c r="F30" s="17"/>
      <c r="G30" s="17"/>
      <c r="H30" s="17"/>
      <c r="I30" s="17"/>
      <c r="J30" s="17"/>
      <c r="K30" s="17"/>
      <c r="L30" s="17"/>
      <c r="M30" s="22"/>
    </row>
    <row r="31" spans="2:20" x14ac:dyDescent="0.2">
      <c r="B31" s="17"/>
      <c r="C31" s="17"/>
      <c r="D31" s="17"/>
      <c r="E31" s="17"/>
      <c r="F31" s="17"/>
      <c r="G31" s="17"/>
      <c r="H31" s="17"/>
      <c r="I31" s="17"/>
      <c r="J31" s="17"/>
      <c r="K31" s="17"/>
      <c r="L31" s="17"/>
      <c r="M31" s="22"/>
    </row>
    <row r="32" spans="2:20" x14ac:dyDescent="0.2">
      <c r="B32" s="36" t="s">
        <v>94</v>
      </c>
      <c r="C32" s="30"/>
      <c r="D32" s="30"/>
      <c r="E32" s="31"/>
      <c r="F32" s="38"/>
      <c r="G32" s="32" t="s">
        <v>12</v>
      </c>
      <c r="H32" s="32"/>
      <c r="I32" s="32"/>
      <c r="J32" s="32"/>
      <c r="K32" s="32"/>
      <c r="L32" s="17"/>
      <c r="M32" s="22" t="s">
        <v>132</v>
      </c>
    </row>
    <row r="33" spans="1:13" x14ac:dyDescent="0.2">
      <c r="B33" s="36"/>
      <c r="C33" s="30"/>
      <c r="D33" s="20"/>
      <c r="E33" s="33">
        <f>Merger_Model!$E$89</f>
        <v>45657</v>
      </c>
      <c r="F33" s="39">
        <f>Merger_Model!$F$89</f>
        <v>46022</v>
      </c>
      <c r="G33" s="39">
        <f>Merger_Model!$G$89</f>
        <v>46387</v>
      </c>
      <c r="H33" s="39">
        <f>Merger_Model!$H$89</f>
        <v>46752</v>
      </c>
      <c r="I33" s="39">
        <f>Merger_Model!$I$89</f>
        <v>47118</v>
      </c>
      <c r="J33" s="39">
        <f>Merger_Model!$J$89</f>
        <v>47483</v>
      </c>
      <c r="K33" s="39">
        <f>Merger_Model!$K$89</f>
        <v>47848</v>
      </c>
      <c r="L33" s="17"/>
      <c r="M33" s="22"/>
    </row>
    <row r="34" spans="1:13" x14ac:dyDescent="0.2">
      <c r="A34" s="22"/>
      <c r="B34" s="22"/>
      <c r="C34" s="22"/>
      <c r="D34" s="22"/>
      <c r="E34" s="22"/>
      <c r="F34" s="22"/>
      <c r="G34" s="22"/>
      <c r="H34" s="22"/>
      <c r="I34" s="22"/>
      <c r="J34" s="22"/>
      <c r="K34" s="22"/>
      <c r="L34" s="22"/>
      <c r="M34" s="22"/>
    </row>
    <row r="35" spans="1:13" x14ac:dyDescent="0.2">
      <c r="B35" s="17"/>
      <c r="C35" s="16" t="s">
        <v>13</v>
      </c>
      <c r="D35" s="17"/>
      <c r="E35" s="17"/>
      <c r="F35" s="17"/>
      <c r="G35" s="17"/>
      <c r="H35" s="17"/>
      <c r="I35" s="17"/>
      <c r="J35" s="17"/>
      <c r="K35" s="17"/>
      <c r="L35" s="17"/>
      <c r="M35" s="22"/>
    </row>
    <row r="36" spans="1:13" x14ac:dyDescent="0.2">
      <c r="B36" s="17"/>
      <c r="C36" s="26" t="s">
        <v>229</v>
      </c>
      <c r="D36" s="71" t="s">
        <v>4</v>
      </c>
      <c r="E36" s="53" t="s">
        <v>55</v>
      </c>
      <c r="F36" s="48">
        <v>4.4999999999999998E-2</v>
      </c>
      <c r="G36" s="48">
        <v>0.05</v>
      </c>
      <c r="H36" s="48">
        <v>4.8000000000000001E-2</v>
      </c>
      <c r="I36" s="48">
        <v>4.4999999999999998E-2</v>
      </c>
      <c r="J36" s="48">
        <v>0.04</v>
      </c>
      <c r="K36" s="48">
        <v>3.5000000000000003E-2</v>
      </c>
      <c r="L36" s="17"/>
      <c r="M36" s="22"/>
    </row>
    <row r="37" spans="1:13" x14ac:dyDescent="0.2">
      <c r="B37" s="17"/>
      <c r="C37" s="26" t="s">
        <v>230</v>
      </c>
      <c r="D37" s="71" t="s">
        <v>4</v>
      </c>
      <c r="E37" s="53" t="s">
        <v>55</v>
      </c>
      <c r="F37" s="48">
        <v>0.05</v>
      </c>
      <c r="G37" s="48">
        <v>5.5E-2</v>
      </c>
      <c r="H37" s="48">
        <v>5.1999999999999998E-2</v>
      </c>
      <c r="I37" s="48">
        <v>4.8000000000000001E-2</v>
      </c>
      <c r="J37" s="48">
        <v>4.4999999999999998E-2</v>
      </c>
      <c r="K37" s="48">
        <v>0.04</v>
      </c>
      <c r="L37" s="17"/>
      <c r="M37" s="22"/>
    </row>
    <row r="38" spans="1:13" x14ac:dyDescent="0.2">
      <c r="B38" s="17"/>
      <c r="C38" s="26" t="s">
        <v>231</v>
      </c>
      <c r="D38" s="71" t="s">
        <v>4</v>
      </c>
      <c r="E38" s="53" t="s">
        <v>55</v>
      </c>
      <c r="F38" s="48">
        <v>0.03</v>
      </c>
      <c r="G38" s="48">
        <v>0.04</v>
      </c>
      <c r="H38" s="48">
        <v>0.04</v>
      </c>
      <c r="I38" s="48">
        <v>3.7999999999999999E-2</v>
      </c>
      <c r="J38" s="48">
        <v>3.5000000000000003E-2</v>
      </c>
      <c r="K38" s="48">
        <v>0.03</v>
      </c>
      <c r="L38" s="17"/>
      <c r="M38" s="22"/>
    </row>
    <row r="39" spans="1:13" x14ac:dyDescent="0.2">
      <c r="B39" s="17"/>
      <c r="C39" s="26" t="s">
        <v>232</v>
      </c>
      <c r="D39" s="71" t="s">
        <v>4</v>
      </c>
      <c r="E39" s="53" t="s">
        <v>55</v>
      </c>
      <c r="F39" s="48">
        <v>5.5E-2</v>
      </c>
      <c r="G39" s="48">
        <v>0.06</v>
      </c>
      <c r="H39" s="48">
        <v>5.5E-2</v>
      </c>
      <c r="I39" s="48">
        <v>5.1999999999999998E-2</v>
      </c>
      <c r="J39" s="48">
        <v>4.8000000000000001E-2</v>
      </c>
      <c r="K39" s="48">
        <v>4.4999999999999998E-2</v>
      </c>
      <c r="L39" s="17"/>
      <c r="M39" s="22"/>
    </row>
    <row r="40" spans="1:13" x14ac:dyDescent="0.2">
      <c r="B40" s="17"/>
      <c r="C40" s="26" t="s">
        <v>233</v>
      </c>
      <c r="D40" s="71" t="s">
        <v>4</v>
      </c>
      <c r="E40" s="53" t="s">
        <v>55</v>
      </c>
      <c r="F40" s="48">
        <v>6.5000000000000002E-2</v>
      </c>
      <c r="G40" s="48">
        <v>7.0000000000000007E-2</v>
      </c>
      <c r="H40" s="48">
        <v>6.5000000000000002E-2</v>
      </c>
      <c r="I40" s="48">
        <v>0.06</v>
      </c>
      <c r="J40" s="48">
        <v>5.5E-2</v>
      </c>
      <c r="K40" s="48">
        <v>0.05</v>
      </c>
      <c r="L40" s="17"/>
      <c r="M40" s="22"/>
    </row>
    <row r="41" spans="1:13" x14ac:dyDescent="0.2">
      <c r="B41" s="17"/>
      <c r="C41" s="26"/>
      <c r="D41" s="71"/>
      <c r="E41"/>
      <c r="F41"/>
      <c r="G41"/>
      <c r="H41"/>
      <c r="I41"/>
      <c r="J41"/>
      <c r="K41"/>
      <c r="L41" s="17"/>
      <c r="M41" s="22"/>
    </row>
    <row r="42" spans="1:13" x14ac:dyDescent="0.2">
      <c r="B42" s="17"/>
      <c r="C42" s="17" t="s">
        <v>100</v>
      </c>
      <c r="D42" s="18" t="s">
        <v>4</v>
      </c>
      <c r="E42" s="76">
        <f>-E91/E90</f>
        <v>0.71</v>
      </c>
      <c r="F42" s="48">
        <v>0.70799999999999996</v>
      </c>
      <c r="G42" s="48">
        <v>0.70499999999999996</v>
      </c>
      <c r="H42" s="48">
        <v>0.70299999999999996</v>
      </c>
      <c r="I42" s="48">
        <v>0.70099999999999996</v>
      </c>
      <c r="J42" s="48">
        <v>0.7</v>
      </c>
      <c r="K42" s="48">
        <v>0.7</v>
      </c>
      <c r="L42" s="17"/>
      <c r="M42" s="22" t="s">
        <v>203</v>
      </c>
    </row>
    <row r="43" spans="1:13" x14ac:dyDescent="0.2">
      <c r="B43" s="17"/>
      <c r="C43" s="17"/>
      <c r="D43" s="71"/>
      <c r="E43"/>
      <c r="F43"/>
      <c r="G43"/>
      <c r="H43"/>
      <c r="I43"/>
      <c r="J43"/>
      <c r="K43"/>
      <c r="L43" s="17"/>
      <c r="M43" s="22"/>
    </row>
    <row r="44" spans="1:13" x14ac:dyDescent="0.2">
      <c r="B44" s="17"/>
      <c r="C44" s="17" t="s">
        <v>101</v>
      </c>
      <c r="D44" s="22" t="s">
        <v>1</v>
      </c>
      <c r="E44" s="49">
        <v>6300</v>
      </c>
      <c r="F44" s="49">
        <v>6280</v>
      </c>
      <c r="G44" s="49">
        <v>6420</v>
      </c>
      <c r="H44" s="49">
        <v>6540</v>
      </c>
      <c r="I44" s="49">
        <v>6650</v>
      </c>
      <c r="J44" s="49">
        <v>6740</v>
      </c>
      <c r="K44" s="49">
        <v>6820</v>
      </c>
      <c r="L44" s="17"/>
      <c r="M44" s="22" t="s">
        <v>202</v>
      </c>
    </row>
    <row r="45" spans="1:13" x14ac:dyDescent="0.2">
      <c r="B45" s="17"/>
      <c r="C45" s="17" t="s">
        <v>102</v>
      </c>
      <c r="D45" s="22" t="s">
        <v>103</v>
      </c>
      <c r="E45" s="50">
        <f>E90*1000000/E44</f>
        <v>410317.4603174603</v>
      </c>
      <c r="F45" s="50">
        <f t="shared" ref="F45:K45" si="0">F90*1000000/F44</f>
        <v>431289.80891719746</v>
      </c>
      <c r="G45" s="50">
        <f t="shared" si="0"/>
        <v>444552.10280373832</v>
      </c>
      <c r="H45" s="50">
        <f t="shared" si="0"/>
        <v>458725.81708715594</v>
      </c>
      <c r="I45" s="50">
        <f t="shared" si="0"/>
        <v>472682.54480676696</v>
      </c>
      <c r="J45" s="50">
        <f t="shared" si="0"/>
        <v>486767.38552723808</v>
      </c>
      <c r="K45" s="50">
        <f t="shared" si="0"/>
        <v>499763.71908616473</v>
      </c>
      <c r="L45" s="17"/>
      <c r="M45" s="22"/>
    </row>
    <row r="46" spans="1:13" x14ac:dyDescent="0.2">
      <c r="B46" s="17"/>
      <c r="C46" s="18" t="s">
        <v>104</v>
      </c>
      <c r="D46" s="22" t="s">
        <v>103</v>
      </c>
      <c r="E46" s="50">
        <f>-E95*1000000/E44</f>
        <v>72222</v>
      </c>
      <c r="F46" s="51">
        <f>E46*(1+F47)</f>
        <v>74388.66</v>
      </c>
      <c r="G46" s="51">
        <f t="shared" ref="G46:K46" si="1">F46*(1+G47)</f>
        <v>76620.319800000012</v>
      </c>
      <c r="H46" s="51">
        <f t="shared" si="1"/>
        <v>78918.929394000021</v>
      </c>
      <c r="I46" s="51">
        <f t="shared" si="1"/>
        <v>81128.659417032017</v>
      </c>
      <c r="J46" s="51">
        <f t="shared" si="1"/>
        <v>83400.261880708917</v>
      </c>
      <c r="K46" s="51">
        <f t="shared" si="1"/>
        <v>85485.268427726638</v>
      </c>
      <c r="L46" s="17"/>
      <c r="M46" s="22" t="s">
        <v>204</v>
      </c>
    </row>
    <row r="47" spans="1:13" x14ac:dyDescent="0.2">
      <c r="B47" s="17"/>
      <c r="C47" s="17" t="s">
        <v>105</v>
      </c>
      <c r="D47" s="22" t="s">
        <v>4</v>
      </c>
      <c r="E47"/>
      <c r="F47" s="48">
        <v>0.03</v>
      </c>
      <c r="G47" s="48">
        <v>0.03</v>
      </c>
      <c r="H47" s="48">
        <v>0.03</v>
      </c>
      <c r="I47" s="48">
        <v>2.8000000000000001E-2</v>
      </c>
      <c r="J47" s="48">
        <v>2.8000000000000001E-2</v>
      </c>
      <c r="K47" s="48">
        <v>2.5000000000000001E-2</v>
      </c>
      <c r="L47" s="17"/>
      <c r="M47" s="22"/>
    </row>
    <row r="48" spans="1:13" x14ac:dyDescent="0.2">
      <c r="B48" s="17"/>
      <c r="C48" s="17"/>
      <c r="D48" s="22"/>
      <c r="E48"/>
      <c r="F48"/>
      <c r="G48"/>
      <c r="H48"/>
      <c r="I48"/>
      <c r="J48"/>
      <c r="K48"/>
      <c r="L48" s="17"/>
      <c r="M48" s="22"/>
    </row>
    <row r="49" spans="2:13" x14ac:dyDescent="0.2">
      <c r="B49" s="17"/>
      <c r="C49" s="18" t="s">
        <v>106</v>
      </c>
      <c r="D49" s="22" t="s">
        <v>4</v>
      </c>
      <c r="E49" s="77">
        <f>-E96/E90</f>
        <v>1.5500000000000002E-2</v>
      </c>
      <c r="F49" s="52">
        <v>1.5599999999999999E-2</v>
      </c>
      <c r="G49" s="52">
        <v>1.5699999999999999E-2</v>
      </c>
      <c r="H49" s="52">
        <v>1.5699999999999999E-2</v>
      </c>
      <c r="I49" s="52">
        <v>1.5599999999999999E-2</v>
      </c>
      <c r="J49" s="52">
        <v>1.55E-2</v>
      </c>
      <c r="K49" s="52">
        <v>1.55E-2</v>
      </c>
      <c r="L49" s="17"/>
      <c r="M49" s="22"/>
    </row>
    <row r="50" spans="2:13" x14ac:dyDescent="0.2">
      <c r="B50" s="17"/>
      <c r="C50" s="17" t="s">
        <v>107</v>
      </c>
      <c r="D50" s="22" t="s">
        <v>4</v>
      </c>
      <c r="E50" s="77">
        <f>-E97/E90</f>
        <v>6.2000000000000006E-3</v>
      </c>
      <c r="F50" s="52">
        <v>6.1000000000000004E-3</v>
      </c>
      <c r="G50" s="52">
        <v>5.8999999999999999E-3</v>
      </c>
      <c r="H50" s="52">
        <v>5.7000000000000002E-3</v>
      </c>
      <c r="I50" s="52">
        <v>5.4999999999999997E-3</v>
      </c>
      <c r="J50" s="52">
        <v>5.3E-3</v>
      </c>
      <c r="K50" s="52">
        <v>5.1000000000000004E-3</v>
      </c>
      <c r="L50" s="17"/>
      <c r="M50" s="22" t="s">
        <v>205</v>
      </c>
    </row>
    <row r="51" spans="2:13" x14ac:dyDescent="0.2">
      <c r="B51" s="17"/>
      <c r="C51" s="17" t="s">
        <v>108</v>
      </c>
      <c r="D51" s="22" t="s">
        <v>61</v>
      </c>
      <c r="E51" s="10">
        <v>0</v>
      </c>
      <c r="F51" s="10">
        <v>6</v>
      </c>
      <c r="G51" s="10">
        <v>3</v>
      </c>
      <c r="H51" s="10">
        <v>0</v>
      </c>
      <c r="I51" s="10">
        <v>0</v>
      </c>
      <c r="J51" s="10">
        <v>0</v>
      </c>
      <c r="K51" s="10">
        <v>0</v>
      </c>
      <c r="L51" s="17"/>
      <c r="M51" s="22" t="s">
        <v>234</v>
      </c>
    </row>
    <row r="52" spans="2:13" x14ac:dyDescent="0.2">
      <c r="B52" s="17"/>
      <c r="C52" s="17" t="s">
        <v>109</v>
      </c>
      <c r="D52" s="22" t="s">
        <v>61</v>
      </c>
      <c r="E52" s="10">
        <v>0</v>
      </c>
      <c r="F52" s="10">
        <v>0</v>
      </c>
      <c r="G52" s="10">
        <v>0</v>
      </c>
      <c r="H52" s="10">
        <v>0</v>
      </c>
      <c r="I52" s="10">
        <v>0</v>
      </c>
      <c r="J52" s="10">
        <v>0</v>
      </c>
      <c r="K52" s="10">
        <v>0</v>
      </c>
      <c r="L52" s="17"/>
      <c r="M52" s="22"/>
    </row>
    <row r="53" spans="2:13" x14ac:dyDescent="0.2">
      <c r="B53" s="17"/>
      <c r="C53" s="17" t="s">
        <v>110</v>
      </c>
      <c r="D53" s="22" t="s">
        <v>61</v>
      </c>
      <c r="E53" s="10">
        <v>0</v>
      </c>
      <c r="F53" s="10">
        <v>3</v>
      </c>
      <c r="G53" s="10">
        <v>3</v>
      </c>
      <c r="H53" s="10">
        <v>3</v>
      </c>
      <c r="I53" s="10">
        <v>3</v>
      </c>
      <c r="J53" s="10">
        <v>3</v>
      </c>
      <c r="K53" s="10">
        <v>3</v>
      </c>
      <c r="L53" s="17"/>
      <c r="M53" s="22"/>
    </row>
    <row r="54" spans="2:13" x14ac:dyDescent="0.2">
      <c r="B54" s="17"/>
      <c r="C54" s="17"/>
      <c r="D54" s="22"/>
      <c r="E54"/>
      <c r="F54"/>
      <c r="G54"/>
      <c r="H54"/>
      <c r="I54"/>
      <c r="J54"/>
      <c r="K54"/>
      <c r="L54" s="17"/>
      <c r="M54" s="22"/>
    </row>
    <row r="55" spans="2:13" x14ac:dyDescent="0.2">
      <c r="B55" s="17"/>
      <c r="C55" s="17" t="s">
        <v>111</v>
      </c>
      <c r="D55" s="22" t="s">
        <v>4</v>
      </c>
      <c r="E55" s="76">
        <f>E117/E90</f>
        <v>0.152</v>
      </c>
      <c r="F55" s="48">
        <v>0.152</v>
      </c>
      <c r="G55" s="48">
        <v>0.152</v>
      </c>
      <c r="H55" s="48">
        <v>0.152</v>
      </c>
      <c r="I55" s="48">
        <v>0.152</v>
      </c>
      <c r="J55" s="48">
        <v>0.152</v>
      </c>
      <c r="K55" s="48">
        <v>0.152</v>
      </c>
      <c r="L55" s="17"/>
      <c r="M55" s="22"/>
    </row>
    <row r="56" spans="2:13" x14ac:dyDescent="0.2">
      <c r="B56" s="17"/>
      <c r="C56" s="17" t="s">
        <v>112</v>
      </c>
      <c r="D56" s="22" t="s">
        <v>4</v>
      </c>
      <c r="E56" s="76">
        <f>-E118/E91</f>
        <v>0.24200000000000002</v>
      </c>
      <c r="F56" s="48">
        <v>0.24</v>
      </c>
      <c r="G56" s="48">
        <v>0.23799999999999999</v>
      </c>
      <c r="H56" s="48">
        <v>0.23599999999999999</v>
      </c>
      <c r="I56" s="48">
        <v>0.23499999999999999</v>
      </c>
      <c r="J56" s="48">
        <v>0.23400000000000001</v>
      </c>
      <c r="K56" s="48">
        <v>0.23400000000000001</v>
      </c>
      <c r="L56" s="17"/>
      <c r="M56" s="22"/>
    </row>
    <row r="57" spans="2:13" x14ac:dyDescent="0.2">
      <c r="B57" s="17"/>
      <c r="C57" s="17" t="s">
        <v>113</v>
      </c>
      <c r="D57" s="22" t="s">
        <v>4</v>
      </c>
      <c r="E57" s="76">
        <f>-E122/E95</f>
        <v>0.18</v>
      </c>
      <c r="F57" s="48">
        <v>0.18</v>
      </c>
      <c r="G57" s="48">
        <v>0.18</v>
      </c>
      <c r="H57" s="48">
        <v>0.18</v>
      </c>
      <c r="I57" s="48">
        <v>0.18</v>
      </c>
      <c r="J57" s="48">
        <v>0.18</v>
      </c>
      <c r="K57" s="48">
        <v>0.18</v>
      </c>
      <c r="L57" s="17"/>
      <c r="M57" s="22" t="s">
        <v>235</v>
      </c>
    </row>
    <row r="58" spans="2:13" x14ac:dyDescent="0.2">
      <c r="B58" s="17"/>
      <c r="C58" s="17" t="s">
        <v>114</v>
      </c>
      <c r="D58" s="22" t="s">
        <v>4</v>
      </c>
      <c r="E58" s="76">
        <f>-E131/E91</f>
        <v>0.125</v>
      </c>
      <c r="F58" s="48">
        <v>0.125</v>
      </c>
      <c r="G58" s="48">
        <v>0.125</v>
      </c>
      <c r="H58" s="48">
        <v>0.125</v>
      </c>
      <c r="I58" s="48">
        <v>0.125</v>
      </c>
      <c r="J58" s="48">
        <v>0.125</v>
      </c>
      <c r="K58" s="48">
        <v>0.125</v>
      </c>
      <c r="L58" s="17"/>
      <c r="M58" s="22"/>
    </row>
    <row r="59" spans="2:13" x14ac:dyDescent="0.2">
      <c r="B59" s="17"/>
      <c r="C59" s="17" t="s">
        <v>115</v>
      </c>
      <c r="D59" s="22" t="s">
        <v>4</v>
      </c>
      <c r="E59" s="76">
        <f>-E132/E95</f>
        <v>0.26500000000000001</v>
      </c>
      <c r="F59" s="48">
        <v>0.26500000000000001</v>
      </c>
      <c r="G59" s="48">
        <v>0.26500000000000001</v>
      </c>
      <c r="H59" s="48">
        <v>0.26500000000000001</v>
      </c>
      <c r="I59" s="48">
        <v>0.26500000000000001</v>
      </c>
      <c r="J59" s="48">
        <v>0.26500000000000001</v>
      </c>
      <c r="K59" s="48">
        <v>0.26500000000000001</v>
      </c>
      <c r="L59" s="17"/>
      <c r="M59" s="22"/>
    </row>
    <row r="60" spans="2:13" x14ac:dyDescent="0.2">
      <c r="B60" s="17"/>
      <c r="C60" s="17"/>
      <c r="D60" s="22"/>
      <c r="E60" s="99"/>
      <c r="F60"/>
      <c r="G60"/>
      <c r="H60"/>
      <c r="I60"/>
      <c r="J60"/>
      <c r="K60"/>
      <c r="L60" s="17"/>
      <c r="M60" s="22"/>
    </row>
    <row r="61" spans="2:13" x14ac:dyDescent="0.2">
      <c r="B61" s="17"/>
      <c r="C61" s="17" t="s">
        <v>116</v>
      </c>
      <c r="D61" s="22" t="s">
        <v>4</v>
      </c>
      <c r="E61" s="77">
        <f>E156/E90</f>
        <v>3.2000000000000002E-3</v>
      </c>
      <c r="F61" s="52">
        <v>3.2000000000000002E-3</v>
      </c>
      <c r="G61" s="52">
        <v>3.2000000000000002E-3</v>
      </c>
      <c r="H61" s="52">
        <v>3.2000000000000002E-3</v>
      </c>
      <c r="I61" s="52">
        <v>3.2000000000000002E-3</v>
      </c>
      <c r="J61" s="52">
        <v>3.2000000000000002E-3</v>
      </c>
      <c r="K61" s="52">
        <v>3.2000000000000002E-3</v>
      </c>
      <c r="L61" s="17"/>
      <c r="M61" s="22"/>
    </row>
    <row r="62" spans="2:13" x14ac:dyDescent="0.2">
      <c r="B62" s="17"/>
      <c r="C62" s="17" t="s">
        <v>117</v>
      </c>
      <c r="D62" s="22" t="s">
        <v>4</v>
      </c>
      <c r="E62" s="76">
        <f>-E157/E107</f>
        <v>0.08</v>
      </c>
      <c r="F62" s="48">
        <v>0.08</v>
      </c>
      <c r="G62" s="48">
        <v>0.06</v>
      </c>
      <c r="H62" s="48">
        <v>0.05</v>
      </c>
      <c r="I62" s="48">
        <v>0.04</v>
      </c>
      <c r="J62" s="48">
        <v>0.04</v>
      </c>
      <c r="K62" s="48">
        <v>0.04</v>
      </c>
      <c r="L62" s="17"/>
      <c r="M62" s="22"/>
    </row>
    <row r="63" spans="2:13" x14ac:dyDescent="0.2">
      <c r="B63" s="17"/>
      <c r="C63" s="17" t="s">
        <v>41</v>
      </c>
      <c r="D63" s="22" t="s">
        <v>61</v>
      </c>
      <c r="E63" s="100">
        <f>E158</f>
        <v>-2.7</v>
      </c>
      <c r="F63" s="10">
        <v>0</v>
      </c>
      <c r="G63" s="10">
        <v>0</v>
      </c>
      <c r="H63" s="10">
        <v>0</v>
      </c>
      <c r="I63" s="10">
        <v>0</v>
      </c>
      <c r="J63" s="10">
        <v>0</v>
      </c>
      <c r="K63" s="10">
        <v>0</v>
      </c>
      <c r="L63" s="17"/>
      <c r="M63" s="22"/>
    </row>
    <row r="64" spans="2:13" x14ac:dyDescent="0.2">
      <c r="B64" s="17"/>
      <c r="C64" s="17"/>
      <c r="D64" s="22"/>
      <c r="E64" s="99"/>
      <c r="F64"/>
      <c r="G64"/>
      <c r="H64"/>
      <c r="I64"/>
      <c r="J64"/>
      <c r="K64"/>
      <c r="L64" s="17"/>
      <c r="M64" s="22"/>
    </row>
    <row r="65" spans="2:13" x14ac:dyDescent="0.2">
      <c r="B65" s="17"/>
      <c r="C65" s="17" t="s">
        <v>118</v>
      </c>
      <c r="D65" s="22" t="s">
        <v>4</v>
      </c>
      <c r="E65" s="76">
        <f>-E169/E90</f>
        <v>2.1000000000000001E-2</v>
      </c>
      <c r="F65" s="48">
        <v>2.1000000000000001E-2</v>
      </c>
      <c r="G65" s="48">
        <v>2.0500000000000001E-2</v>
      </c>
      <c r="H65" s="48">
        <v>0.02</v>
      </c>
      <c r="I65" s="48">
        <v>1.95E-2</v>
      </c>
      <c r="J65" s="48">
        <v>1.9E-2</v>
      </c>
      <c r="K65" s="48">
        <v>1.9E-2</v>
      </c>
      <c r="L65" s="17"/>
      <c r="M65" s="22"/>
    </row>
    <row r="66" spans="2:13" x14ac:dyDescent="0.2">
      <c r="B66" s="17"/>
      <c r="C66" s="17" t="s">
        <v>119</v>
      </c>
      <c r="D66" s="22" t="s">
        <v>61</v>
      </c>
      <c r="E66" s="100">
        <f>E170</f>
        <v>2</v>
      </c>
      <c r="F66" s="10">
        <v>2</v>
      </c>
      <c r="G66" s="10">
        <v>2</v>
      </c>
      <c r="H66" s="10">
        <v>2</v>
      </c>
      <c r="I66" s="10">
        <v>2</v>
      </c>
      <c r="J66" s="10">
        <v>2</v>
      </c>
      <c r="K66" s="10">
        <v>2</v>
      </c>
      <c r="L66" s="17"/>
      <c r="M66" s="22"/>
    </row>
    <row r="67" spans="2:13" x14ac:dyDescent="0.2">
      <c r="B67" s="17"/>
      <c r="C67" s="17" t="s">
        <v>120</v>
      </c>
      <c r="D67" s="22" t="s">
        <v>61</v>
      </c>
      <c r="E67" s="100">
        <f>-E171</f>
        <v>31.5</v>
      </c>
      <c r="F67" s="10">
        <v>0</v>
      </c>
      <c r="G67" s="10">
        <v>0</v>
      </c>
      <c r="H67" s="10">
        <v>0</v>
      </c>
      <c r="I67" s="10">
        <v>0</v>
      </c>
      <c r="J67" s="10">
        <v>0</v>
      </c>
      <c r="K67" s="10">
        <v>0</v>
      </c>
      <c r="L67" s="17"/>
      <c r="M67" s="22" t="s">
        <v>208</v>
      </c>
    </row>
    <row r="68" spans="2:13" x14ac:dyDescent="0.2">
      <c r="B68" s="17"/>
      <c r="C68" s="17"/>
      <c r="D68" s="22"/>
      <c r="E68" s="99"/>
      <c r="F68"/>
      <c r="G68"/>
      <c r="H68"/>
      <c r="I68"/>
      <c r="J68"/>
      <c r="K68"/>
      <c r="L68" s="17"/>
      <c r="M68" s="22"/>
    </row>
    <row r="69" spans="2:13" x14ac:dyDescent="0.2">
      <c r="B69" s="17"/>
      <c r="C69" s="17" t="s">
        <v>121</v>
      </c>
      <c r="D69" s="22" t="s">
        <v>61</v>
      </c>
      <c r="E69" s="100">
        <f>E174</f>
        <v>180</v>
      </c>
      <c r="F69" s="10">
        <v>0</v>
      </c>
      <c r="G69" s="10">
        <v>0</v>
      </c>
      <c r="H69" s="10">
        <v>0</v>
      </c>
      <c r="I69" s="10">
        <v>0</v>
      </c>
      <c r="J69" s="10">
        <v>0</v>
      </c>
      <c r="K69" s="10">
        <v>0</v>
      </c>
      <c r="L69" s="17"/>
      <c r="M69" s="22" t="s">
        <v>209</v>
      </c>
    </row>
    <row r="70" spans="2:13" x14ac:dyDescent="0.2">
      <c r="B70" s="17"/>
      <c r="C70" s="17" t="s">
        <v>122</v>
      </c>
      <c r="D70" s="22" t="s">
        <v>61</v>
      </c>
      <c r="E70" s="10">
        <v>165</v>
      </c>
      <c r="F70" s="10">
        <v>40</v>
      </c>
      <c r="G70" s="10">
        <v>45</v>
      </c>
      <c r="H70" s="10">
        <v>50</v>
      </c>
      <c r="I70" s="10">
        <v>55</v>
      </c>
      <c r="J70" s="10">
        <v>60</v>
      </c>
      <c r="K70" s="10">
        <v>65</v>
      </c>
      <c r="L70" s="17"/>
      <c r="M70" s="22" t="s">
        <v>210</v>
      </c>
    </row>
    <row r="71" spans="2:13" x14ac:dyDescent="0.2">
      <c r="B71" s="17"/>
      <c r="C71" s="17" t="s">
        <v>123</v>
      </c>
      <c r="D71" s="22" t="s">
        <v>61</v>
      </c>
      <c r="E71" s="100">
        <f>-E176</f>
        <v>25</v>
      </c>
      <c r="F71" s="10">
        <v>0</v>
      </c>
      <c r="G71" s="10">
        <v>0</v>
      </c>
      <c r="H71" s="10">
        <v>0</v>
      </c>
      <c r="I71" s="10">
        <v>0</v>
      </c>
      <c r="J71" s="10">
        <v>0</v>
      </c>
      <c r="K71" s="10">
        <v>0</v>
      </c>
      <c r="L71" s="17"/>
      <c r="M71" s="22" t="s">
        <v>211</v>
      </c>
    </row>
    <row r="72" spans="2:13" x14ac:dyDescent="0.2">
      <c r="B72" s="17"/>
      <c r="C72" s="17" t="s">
        <v>124</v>
      </c>
      <c r="D72" s="22" t="s">
        <v>61</v>
      </c>
      <c r="E72" s="100">
        <f>-E177</f>
        <v>0</v>
      </c>
      <c r="F72" s="10">
        <v>30</v>
      </c>
      <c r="G72" s="10">
        <v>34</v>
      </c>
      <c r="H72" s="10">
        <v>38</v>
      </c>
      <c r="I72" s="10">
        <v>42</v>
      </c>
      <c r="J72" s="10">
        <v>46</v>
      </c>
      <c r="K72" s="10">
        <v>50</v>
      </c>
      <c r="L72" s="17"/>
      <c r="M72" s="22" t="s">
        <v>212</v>
      </c>
    </row>
    <row r="73" spans="2:13" x14ac:dyDescent="0.2">
      <c r="B73" s="17"/>
      <c r="C73" s="17" t="s">
        <v>125</v>
      </c>
      <c r="D73" s="22" t="s">
        <v>61</v>
      </c>
      <c r="E73" s="100">
        <f>-E178</f>
        <v>3.4</v>
      </c>
      <c r="F73" s="10">
        <v>0</v>
      </c>
      <c r="G73" s="10">
        <v>0</v>
      </c>
      <c r="H73" s="10">
        <v>0</v>
      </c>
      <c r="I73" s="10">
        <v>0</v>
      </c>
      <c r="J73" s="10">
        <v>0</v>
      </c>
      <c r="K73" s="10">
        <v>0</v>
      </c>
      <c r="L73" s="17"/>
      <c r="M73" s="22"/>
    </row>
    <row r="74" spans="2:13" x14ac:dyDescent="0.2">
      <c r="B74" s="17"/>
      <c r="C74" s="17"/>
      <c r="D74" s="22"/>
      <c r="E74"/>
      <c r="F74"/>
      <c r="G74"/>
      <c r="H74"/>
      <c r="I74"/>
      <c r="J74"/>
      <c r="K74"/>
      <c r="L74" s="17"/>
      <c r="M74" s="22"/>
    </row>
    <row r="75" spans="2:13" x14ac:dyDescent="0.2">
      <c r="B75" s="17"/>
      <c r="C75" s="17" t="s">
        <v>126</v>
      </c>
      <c r="D75" s="22" t="s">
        <v>4</v>
      </c>
      <c r="E75" s="52">
        <v>6.25E-2</v>
      </c>
      <c r="F75" s="52">
        <v>6.25E-2</v>
      </c>
      <c r="G75" s="52">
        <v>6.25E-2</v>
      </c>
      <c r="H75" s="52">
        <v>6.25E-2</v>
      </c>
      <c r="I75" s="52">
        <v>6.25E-2</v>
      </c>
      <c r="J75" s="52">
        <v>6.25E-2</v>
      </c>
      <c r="K75" s="52">
        <v>6.25E-2</v>
      </c>
      <c r="L75" s="17"/>
      <c r="M75" s="22" t="s">
        <v>217</v>
      </c>
    </row>
    <row r="76" spans="2:13" x14ac:dyDescent="0.2">
      <c r="B76" s="17"/>
      <c r="C76" s="17" t="s">
        <v>127</v>
      </c>
      <c r="D76" s="22" t="s">
        <v>61</v>
      </c>
      <c r="E76" s="10">
        <v>531.6</v>
      </c>
      <c r="F76" s="9">
        <f>E135</f>
        <v>545</v>
      </c>
      <c r="G76" s="9">
        <f t="shared" ref="G76:K76" si="2">F135</f>
        <v>506.7</v>
      </c>
      <c r="H76" s="9">
        <f t="shared" si="2"/>
        <v>463.3</v>
      </c>
      <c r="I76" s="9">
        <f t="shared" si="2"/>
        <v>414.8</v>
      </c>
      <c r="J76" s="9">
        <f t="shared" si="2"/>
        <v>361.2</v>
      </c>
      <c r="K76" s="9">
        <f t="shared" si="2"/>
        <v>302.5</v>
      </c>
      <c r="L76" s="17"/>
      <c r="M76" s="22"/>
    </row>
    <row r="77" spans="2:13" x14ac:dyDescent="0.2">
      <c r="B77" s="17"/>
      <c r="C77" s="17" t="s">
        <v>128</v>
      </c>
      <c r="D77" s="22" t="s">
        <v>4</v>
      </c>
      <c r="E77" s="52">
        <v>3.5000000000000003E-2</v>
      </c>
      <c r="F77" s="52">
        <v>3.5000000000000003E-2</v>
      </c>
      <c r="G77" s="52">
        <v>3.5000000000000003E-2</v>
      </c>
      <c r="H77" s="52">
        <v>3.5000000000000003E-2</v>
      </c>
      <c r="I77" s="52">
        <v>3.5000000000000003E-2</v>
      </c>
      <c r="J77" s="52">
        <v>3.5000000000000003E-2</v>
      </c>
      <c r="K77" s="52">
        <v>3.5000000000000003E-2</v>
      </c>
      <c r="L77" s="17"/>
      <c r="M77" s="22"/>
    </row>
    <row r="78" spans="2:13" x14ac:dyDescent="0.2">
      <c r="B78" s="17"/>
      <c r="C78" s="17" t="s">
        <v>129</v>
      </c>
      <c r="D78" s="22" t="s">
        <v>61</v>
      </c>
      <c r="E78" s="100">
        <f>E154</f>
        <v>1.8</v>
      </c>
      <c r="F78" s="10">
        <v>1.7</v>
      </c>
      <c r="G78" s="10">
        <v>1.6</v>
      </c>
      <c r="H78" s="10">
        <v>1.5</v>
      </c>
      <c r="I78" s="10">
        <v>1.4</v>
      </c>
      <c r="J78" s="10">
        <v>1.3</v>
      </c>
      <c r="K78" s="10">
        <v>1.2</v>
      </c>
      <c r="L78" s="17"/>
      <c r="M78" s="22"/>
    </row>
    <row r="79" spans="2:13" x14ac:dyDescent="0.2">
      <c r="B79" s="17"/>
      <c r="C79" s="17"/>
      <c r="D79" s="18"/>
      <c r="E79" s="17"/>
      <c r="F79" s="17"/>
      <c r="G79" s="17"/>
      <c r="H79" s="17"/>
      <c r="I79" s="17"/>
      <c r="J79" s="17"/>
      <c r="K79" s="17"/>
      <c r="L79" s="17"/>
      <c r="M79" s="22"/>
    </row>
    <row r="80" spans="2:13" x14ac:dyDescent="0.2">
      <c r="B80" s="17"/>
      <c r="C80" s="17"/>
      <c r="D80" s="18"/>
      <c r="E80" s="17"/>
      <c r="F80" s="17"/>
      <c r="G80" s="17"/>
      <c r="H80" s="17"/>
      <c r="I80" s="17"/>
      <c r="J80" s="17"/>
      <c r="K80" s="17"/>
      <c r="L80" s="17"/>
      <c r="M80" s="22"/>
    </row>
    <row r="81" spans="2:13" x14ac:dyDescent="0.2">
      <c r="B81" s="36" t="s">
        <v>93</v>
      </c>
      <c r="C81" s="30"/>
      <c r="D81" s="72"/>
      <c r="E81" s="35"/>
      <c r="F81" s="40"/>
      <c r="G81" s="32" t="s">
        <v>12</v>
      </c>
      <c r="H81" s="32"/>
      <c r="I81" s="32"/>
      <c r="J81" s="32"/>
      <c r="K81" s="32"/>
      <c r="L81" s="17"/>
      <c r="M81" s="22"/>
    </row>
    <row r="82" spans="2:13" x14ac:dyDescent="0.2">
      <c r="B82" s="36"/>
      <c r="C82" s="30"/>
      <c r="D82" s="72"/>
      <c r="E82" s="33">
        <f>Merger_Model!$E$89</f>
        <v>45657</v>
      </c>
      <c r="F82" s="39">
        <f>Merger_Model!$F$89</f>
        <v>46022</v>
      </c>
      <c r="G82" s="39">
        <f>Merger_Model!$G$89</f>
        <v>46387</v>
      </c>
      <c r="H82" s="39">
        <f>Merger_Model!$H$89</f>
        <v>46752</v>
      </c>
      <c r="I82" s="39">
        <f>Merger_Model!$I$89</f>
        <v>47118</v>
      </c>
      <c r="J82" s="39">
        <f>Merger_Model!$J$89</f>
        <v>47483</v>
      </c>
      <c r="K82" s="39">
        <f>Merger_Model!$K$89</f>
        <v>47848</v>
      </c>
      <c r="L82" s="17"/>
      <c r="M82" s="22"/>
    </row>
    <row r="83" spans="2:13" ht="17" customHeight="1" x14ac:dyDescent="0.2">
      <c r="B83" s="17"/>
      <c r="C83" s="17"/>
      <c r="D83" s="18"/>
      <c r="E83" s="17"/>
      <c r="F83" s="17"/>
      <c r="G83" s="17"/>
      <c r="H83" s="17"/>
      <c r="I83" s="17"/>
      <c r="J83" s="17"/>
      <c r="K83" s="17"/>
      <c r="L83" s="17"/>
      <c r="M83" s="22"/>
    </row>
    <row r="84" spans="2:13" x14ac:dyDescent="0.2">
      <c r="B84" s="17"/>
      <c r="C84" s="13" t="s">
        <v>6</v>
      </c>
      <c r="D84" s="71"/>
      <c r="E84" s="98"/>
      <c r="F84" s="22"/>
      <c r="G84" s="22"/>
      <c r="H84" s="22"/>
      <c r="I84" s="22"/>
      <c r="J84" s="22"/>
      <c r="K84" s="22"/>
      <c r="L84" s="17"/>
      <c r="M84" s="22"/>
    </row>
    <row r="85" spans="2:13" x14ac:dyDescent="0.2">
      <c r="B85" s="17"/>
      <c r="C85" s="14" t="s">
        <v>224</v>
      </c>
      <c r="D85" s="22" t="s">
        <v>5</v>
      </c>
      <c r="E85" s="10">
        <v>845</v>
      </c>
      <c r="F85" s="43">
        <f>E85*(1+F36)</f>
        <v>883.02499999999998</v>
      </c>
      <c r="G85" s="43">
        <f t="shared" ref="G85:K85" si="3">F85*(1+G36)</f>
        <v>927.17624999999998</v>
      </c>
      <c r="H85" s="43">
        <f t="shared" si="3"/>
        <v>971.68070999999998</v>
      </c>
      <c r="I85" s="43">
        <f t="shared" si="3"/>
        <v>1015.40634195</v>
      </c>
      <c r="J85" s="43">
        <f t="shared" si="3"/>
        <v>1056.0225956280001</v>
      </c>
      <c r="K85" s="43">
        <f t="shared" si="3"/>
        <v>1092.9833864749801</v>
      </c>
      <c r="L85" s="17"/>
      <c r="M85" s="22"/>
    </row>
    <row r="86" spans="2:13" x14ac:dyDescent="0.2">
      <c r="B86" s="17"/>
      <c r="C86" s="14" t="s">
        <v>225</v>
      </c>
      <c r="D86" s="22" t="s">
        <v>5</v>
      </c>
      <c r="E86" s="10">
        <v>710</v>
      </c>
      <c r="F86" s="43">
        <f t="shared" ref="F86:K89" si="4">E86*(1+F37)</f>
        <v>745.5</v>
      </c>
      <c r="G86" s="43">
        <f t="shared" si="4"/>
        <v>786.50249999999994</v>
      </c>
      <c r="H86" s="43">
        <f t="shared" si="4"/>
        <v>827.40062999999998</v>
      </c>
      <c r="I86" s="43">
        <f t="shared" si="4"/>
        <v>867.11586023999996</v>
      </c>
      <c r="J86" s="43">
        <f t="shared" si="4"/>
        <v>906.13607395079987</v>
      </c>
      <c r="K86" s="43">
        <f t="shared" si="4"/>
        <v>942.38151690883194</v>
      </c>
      <c r="L86" s="17"/>
      <c r="M86" s="22"/>
    </row>
    <row r="87" spans="2:13" x14ac:dyDescent="0.2">
      <c r="B87" s="17"/>
      <c r="C87" s="14" t="s">
        <v>226</v>
      </c>
      <c r="D87" s="22" t="s">
        <v>5</v>
      </c>
      <c r="E87" s="10">
        <v>445</v>
      </c>
      <c r="F87" s="43">
        <f t="shared" si="4"/>
        <v>458.35</v>
      </c>
      <c r="G87" s="43">
        <f t="shared" si="4"/>
        <v>476.68400000000003</v>
      </c>
      <c r="H87" s="43">
        <f t="shared" si="4"/>
        <v>495.75136000000003</v>
      </c>
      <c r="I87" s="43">
        <f t="shared" si="4"/>
        <v>514.58991168</v>
      </c>
      <c r="J87" s="43">
        <f t="shared" si="4"/>
        <v>532.60055858879991</v>
      </c>
      <c r="K87" s="43">
        <f t="shared" si="4"/>
        <v>548.57857534646394</v>
      </c>
      <c r="L87" s="17"/>
      <c r="M87" s="22"/>
    </row>
    <row r="88" spans="2:13" x14ac:dyDescent="0.2">
      <c r="B88" s="17"/>
      <c r="C88" s="14" t="s">
        <v>227</v>
      </c>
      <c r="D88" s="22" t="s">
        <v>5</v>
      </c>
      <c r="E88" s="10">
        <v>140</v>
      </c>
      <c r="F88" s="43">
        <f t="shared" si="4"/>
        <v>147.69999999999999</v>
      </c>
      <c r="G88" s="43">
        <f t="shared" si="4"/>
        <v>156.56199999999998</v>
      </c>
      <c r="H88" s="43">
        <f t="shared" si="4"/>
        <v>165.17290999999997</v>
      </c>
      <c r="I88" s="43">
        <f t="shared" si="4"/>
        <v>173.76190131999999</v>
      </c>
      <c r="J88" s="43">
        <f t="shared" si="4"/>
        <v>182.10247258336</v>
      </c>
      <c r="K88" s="43">
        <f t="shared" si="4"/>
        <v>190.2970838496112</v>
      </c>
      <c r="L88" s="17"/>
      <c r="M88" s="22"/>
    </row>
    <row r="89" spans="2:13" x14ac:dyDescent="0.2">
      <c r="B89" s="17"/>
      <c r="C89" s="14" t="s">
        <v>228</v>
      </c>
      <c r="D89" s="22" t="s">
        <v>5</v>
      </c>
      <c r="E89" s="10">
        <v>445</v>
      </c>
      <c r="F89" s="43">
        <f t="shared" si="4"/>
        <v>473.92499999999995</v>
      </c>
      <c r="G89" s="43">
        <f t="shared" si="4"/>
        <v>507.09974999999997</v>
      </c>
      <c r="H89" s="43">
        <f t="shared" si="4"/>
        <v>540.06123374999993</v>
      </c>
      <c r="I89" s="43">
        <f t="shared" si="4"/>
        <v>572.46490777499992</v>
      </c>
      <c r="J89" s="43">
        <f t="shared" si="4"/>
        <v>603.95047770262488</v>
      </c>
      <c r="K89" s="43">
        <f t="shared" si="4"/>
        <v>634.1480015877562</v>
      </c>
      <c r="L89" s="17"/>
      <c r="M89" s="22"/>
    </row>
    <row r="90" spans="2:13" x14ac:dyDescent="0.2">
      <c r="B90" s="17"/>
      <c r="C90" s="5" t="s">
        <v>76</v>
      </c>
      <c r="D90" s="22" t="s">
        <v>5</v>
      </c>
      <c r="E90" s="44">
        <f>SUM(E85:E89)</f>
        <v>2585</v>
      </c>
      <c r="F90" s="44">
        <f t="shared" ref="F90:K90" si="5">SUM(F85:F89)</f>
        <v>2708.5</v>
      </c>
      <c r="G90" s="44">
        <f t="shared" si="5"/>
        <v>2854.0245</v>
      </c>
      <c r="H90" s="44">
        <f t="shared" si="5"/>
        <v>3000.0668437499999</v>
      </c>
      <c r="I90" s="44">
        <f t="shared" si="5"/>
        <v>3143.3389229650002</v>
      </c>
      <c r="J90" s="44">
        <f t="shared" si="5"/>
        <v>3280.8121784535847</v>
      </c>
      <c r="K90" s="44">
        <f t="shared" si="5"/>
        <v>3408.3885641676434</v>
      </c>
      <c r="L90" s="17"/>
      <c r="M90" s="22"/>
    </row>
    <row r="91" spans="2:13" x14ac:dyDescent="0.2">
      <c r="B91" s="17"/>
      <c r="C91" s="8" t="s">
        <v>77</v>
      </c>
      <c r="D91" s="22" t="s">
        <v>5</v>
      </c>
      <c r="E91" s="10">
        <v>-1835.35</v>
      </c>
      <c r="F91" s="41">
        <f t="shared" ref="F91:K91" si="6">-F90*F42</f>
        <v>-1917.6179999999999</v>
      </c>
      <c r="G91" s="41">
        <f t="shared" si="6"/>
        <v>-2012.0872724999999</v>
      </c>
      <c r="H91" s="41">
        <f t="shared" si="6"/>
        <v>-2109.04699115625</v>
      </c>
      <c r="I91" s="41">
        <f t="shared" si="6"/>
        <v>-2203.480584998465</v>
      </c>
      <c r="J91" s="41">
        <f t="shared" si="6"/>
        <v>-2296.568524917509</v>
      </c>
      <c r="K91" s="41">
        <f t="shared" si="6"/>
        <v>-2385.8719949173501</v>
      </c>
      <c r="L91" s="17"/>
      <c r="M91" s="22"/>
    </row>
    <row r="92" spans="2:13" x14ac:dyDescent="0.2">
      <c r="B92" s="17"/>
      <c r="C92" s="5" t="s">
        <v>78</v>
      </c>
      <c r="D92" s="22" t="s">
        <v>5</v>
      </c>
      <c r="E92" s="55">
        <f>SUM(E90:E91)</f>
        <v>749.65000000000009</v>
      </c>
      <c r="F92" s="55">
        <f t="shared" ref="F92:K92" si="7">SUM(F90:F91)</f>
        <v>790.88200000000006</v>
      </c>
      <c r="G92" s="55">
        <f t="shared" si="7"/>
        <v>841.93722750000006</v>
      </c>
      <c r="H92" s="55">
        <f t="shared" si="7"/>
        <v>891.01985259374987</v>
      </c>
      <c r="I92" s="55">
        <f t="shared" si="7"/>
        <v>939.85833796653515</v>
      </c>
      <c r="J92" s="55">
        <f t="shared" si="7"/>
        <v>984.24365353607573</v>
      </c>
      <c r="K92" s="55">
        <f t="shared" si="7"/>
        <v>1022.5165692502933</v>
      </c>
      <c r="L92" s="17"/>
      <c r="M92" s="22"/>
    </row>
    <row r="93" spans="2:13" ht="17" customHeight="1" x14ac:dyDescent="0.2">
      <c r="B93" s="17"/>
      <c r="C93" s="17"/>
      <c r="D93" s="22"/>
      <c r="F93" s="43"/>
      <c r="G93" s="43"/>
      <c r="H93" s="43"/>
      <c r="I93" s="43"/>
      <c r="J93" s="43"/>
      <c r="K93" s="43"/>
      <c r="L93" s="17"/>
      <c r="M93" s="22"/>
    </row>
    <row r="94" spans="2:13" ht="17" customHeight="1" x14ac:dyDescent="0.2">
      <c r="B94" s="17"/>
      <c r="C94" s="13" t="s">
        <v>7</v>
      </c>
      <c r="D94" s="22"/>
      <c r="E94" s="42"/>
      <c r="F94" s="43"/>
      <c r="G94" s="43"/>
      <c r="H94" s="43"/>
      <c r="I94" s="43"/>
      <c r="J94" s="43"/>
      <c r="K94" s="43"/>
      <c r="L94" s="17"/>
      <c r="M94" s="22"/>
    </row>
    <row r="95" spans="2:13" ht="17" customHeight="1" x14ac:dyDescent="0.2">
      <c r="B95" s="17"/>
      <c r="C95" s="14" t="s">
        <v>79</v>
      </c>
      <c r="D95" s="22" t="s">
        <v>5</v>
      </c>
      <c r="E95" s="10">
        <v>-454.99860000000001</v>
      </c>
      <c r="F95" s="43">
        <f>-F44/1000000*F46</f>
        <v>-467.16078480000004</v>
      </c>
      <c r="G95" s="43">
        <f t="shared" ref="G95:K95" si="8">-G44/1000000*G46</f>
        <v>-491.90245311600012</v>
      </c>
      <c r="H95" s="43">
        <f t="shared" si="8"/>
        <v>-516.12979823676017</v>
      </c>
      <c r="I95" s="43">
        <f t="shared" si="8"/>
        <v>-539.5055851232629</v>
      </c>
      <c r="J95" s="43">
        <f t="shared" si="8"/>
        <v>-562.11776507597813</v>
      </c>
      <c r="K95" s="43">
        <f t="shared" si="8"/>
        <v>-583.00953067709565</v>
      </c>
      <c r="L95" s="17"/>
      <c r="M95" s="22"/>
    </row>
    <row r="96" spans="2:13" ht="17" customHeight="1" x14ac:dyDescent="0.2">
      <c r="B96" s="17"/>
      <c r="C96" s="14" t="s">
        <v>80</v>
      </c>
      <c r="D96" s="22" t="s">
        <v>5</v>
      </c>
      <c r="E96" s="10">
        <v>-40.067500000000003</v>
      </c>
      <c r="F96" s="43">
        <f>-F90*F49</f>
        <v>-42.252600000000001</v>
      </c>
      <c r="G96" s="43">
        <f t="shared" ref="G96:K96" si="9">-G90*G49</f>
        <v>-44.808184649999994</v>
      </c>
      <c r="H96" s="43">
        <f t="shared" si="9"/>
        <v>-47.101049446874995</v>
      </c>
      <c r="I96" s="43">
        <f t="shared" si="9"/>
        <v>-49.036087198254002</v>
      </c>
      <c r="J96" s="43">
        <f t="shared" si="9"/>
        <v>-50.852588766030564</v>
      </c>
      <c r="K96" s="43">
        <f t="shared" si="9"/>
        <v>-52.830022744598473</v>
      </c>
      <c r="L96" s="17"/>
      <c r="M96" s="22"/>
    </row>
    <row r="97" spans="2:13" ht="17" customHeight="1" x14ac:dyDescent="0.2">
      <c r="B97" s="17"/>
      <c r="C97" s="14" t="s">
        <v>81</v>
      </c>
      <c r="D97" s="22" t="s">
        <v>5</v>
      </c>
      <c r="E97" s="10">
        <v>-16.027000000000001</v>
      </c>
      <c r="F97" s="43">
        <f>-F90*F50</f>
        <v>-16.521850000000001</v>
      </c>
      <c r="G97" s="43">
        <f t="shared" ref="G97:K97" si="10">-G90*G50</f>
        <v>-16.838744550000001</v>
      </c>
      <c r="H97" s="43">
        <f t="shared" si="10"/>
        <v>-17.100381009374999</v>
      </c>
      <c r="I97" s="43">
        <f t="shared" si="10"/>
        <v>-17.288364076307499</v>
      </c>
      <c r="J97" s="43">
        <f t="shared" si="10"/>
        <v>-17.388304545803997</v>
      </c>
      <c r="K97" s="43">
        <f t="shared" si="10"/>
        <v>-17.382781677254982</v>
      </c>
      <c r="L97" s="17"/>
      <c r="M97" s="22"/>
    </row>
    <row r="98" spans="2:13" ht="17" customHeight="1" x14ac:dyDescent="0.2">
      <c r="B98" s="17"/>
      <c r="C98" s="14" t="s">
        <v>82</v>
      </c>
      <c r="D98" s="22" t="s">
        <v>5</v>
      </c>
      <c r="E98" s="10">
        <v>-12</v>
      </c>
      <c r="F98" s="43">
        <f>-F51</f>
        <v>-6</v>
      </c>
      <c r="G98" s="43">
        <f t="shared" ref="G98:K98" si="11">-G51</f>
        <v>-3</v>
      </c>
      <c r="H98" s="43">
        <f t="shared" si="11"/>
        <v>0</v>
      </c>
      <c r="I98" s="43">
        <f t="shared" si="11"/>
        <v>0</v>
      </c>
      <c r="J98" s="43">
        <f t="shared" si="11"/>
        <v>0</v>
      </c>
      <c r="K98" s="43">
        <f t="shared" si="11"/>
        <v>0</v>
      </c>
      <c r="L98" s="17"/>
      <c r="M98" s="22"/>
    </row>
    <row r="99" spans="2:13" ht="17" customHeight="1" x14ac:dyDescent="0.2">
      <c r="B99" s="17"/>
      <c r="C99" s="14" t="s">
        <v>83</v>
      </c>
      <c r="D99" s="22" t="s">
        <v>5</v>
      </c>
      <c r="E99" s="67">
        <v>-2.5</v>
      </c>
      <c r="F99" s="43">
        <f>-F52</f>
        <v>0</v>
      </c>
      <c r="G99" s="43">
        <f t="shared" ref="G99:K99" si="12">-G52</f>
        <v>0</v>
      </c>
      <c r="H99" s="43">
        <f t="shared" si="12"/>
        <v>0</v>
      </c>
      <c r="I99" s="43">
        <f t="shared" si="12"/>
        <v>0</v>
      </c>
      <c r="J99" s="43">
        <f t="shared" si="12"/>
        <v>0</v>
      </c>
      <c r="K99" s="43">
        <f t="shared" si="12"/>
        <v>0</v>
      </c>
      <c r="L99" s="17"/>
      <c r="M99" s="22"/>
    </row>
    <row r="100" spans="2:13" ht="17" customHeight="1" x14ac:dyDescent="0.2">
      <c r="B100" s="17"/>
      <c r="C100" s="5" t="s">
        <v>84</v>
      </c>
      <c r="D100" s="22" t="s">
        <v>5</v>
      </c>
      <c r="E100" s="55">
        <f>SUM(E95:E99)</f>
        <v>-525.59310000000005</v>
      </c>
      <c r="F100" s="55">
        <f>SUM(F95:F99)</f>
        <v>-531.93523479999999</v>
      </c>
      <c r="G100" s="55">
        <f t="shared" ref="G100:K100" si="13">SUM(G95:G99)</f>
        <v>-556.54938231600011</v>
      </c>
      <c r="H100" s="55">
        <f t="shared" si="13"/>
        <v>-580.33122869301019</v>
      </c>
      <c r="I100" s="55">
        <f t="shared" si="13"/>
        <v>-605.83003639782441</v>
      </c>
      <c r="J100" s="55">
        <f t="shared" si="13"/>
        <v>-630.35865838781262</v>
      </c>
      <c r="K100" s="55">
        <f t="shared" si="13"/>
        <v>-653.2223350989492</v>
      </c>
      <c r="L100" s="17"/>
      <c r="M100" s="22"/>
    </row>
    <row r="101" spans="2:13" ht="17" customHeight="1" x14ac:dyDescent="0.2">
      <c r="B101" s="17"/>
      <c r="C101" s="17"/>
      <c r="D101" s="22"/>
      <c r="E101" s="10"/>
      <c r="F101" s="43"/>
      <c r="G101" s="43"/>
      <c r="H101" s="43"/>
      <c r="I101" s="43"/>
      <c r="J101" s="43"/>
      <c r="K101" s="43"/>
      <c r="L101" s="17"/>
      <c r="M101" s="22"/>
    </row>
    <row r="102" spans="2:13" ht="17" customHeight="1" x14ac:dyDescent="0.2">
      <c r="B102" s="17"/>
      <c r="C102" s="5" t="s">
        <v>85</v>
      </c>
      <c r="D102" s="22" t="s">
        <v>5</v>
      </c>
      <c r="E102" s="55">
        <f>SUM(E92,E100)</f>
        <v>224.05690000000004</v>
      </c>
      <c r="F102" s="55">
        <f>SUM(F92,F100)</f>
        <v>258.94676520000007</v>
      </c>
      <c r="G102" s="55">
        <f t="shared" ref="G102:K102" si="14">SUM(G92,G100)</f>
        <v>285.38784518399996</v>
      </c>
      <c r="H102" s="55">
        <f t="shared" si="14"/>
        <v>310.68862390073969</v>
      </c>
      <c r="I102" s="55">
        <f t="shared" si="14"/>
        <v>334.02830156871073</v>
      </c>
      <c r="J102" s="55">
        <f t="shared" si="14"/>
        <v>353.8849951482631</v>
      </c>
      <c r="K102" s="55">
        <f t="shared" si="14"/>
        <v>369.29423415134409</v>
      </c>
      <c r="L102" s="17"/>
      <c r="M102" s="22"/>
    </row>
    <row r="103" spans="2:13" ht="17" customHeight="1" x14ac:dyDescent="0.2">
      <c r="B103" s="17"/>
      <c r="C103" s="8" t="s">
        <v>86</v>
      </c>
      <c r="D103" s="22" t="s">
        <v>5</v>
      </c>
      <c r="E103" s="10">
        <v>-35.443749999999994</v>
      </c>
      <c r="F103" s="43">
        <f>-(F75*AVERAGE(F76,F135)+F78)</f>
        <v>-34.565625000000004</v>
      </c>
      <c r="G103" s="43">
        <f t="shared" ref="G103:K103" si="15">-(G75*AVERAGE(G76,G135)+G78)</f>
        <v>-31.912500000000001</v>
      </c>
      <c r="H103" s="43">
        <f t="shared" si="15"/>
        <v>-28.940625000000001</v>
      </c>
      <c r="I103" s="43">
        <f t="shared" si="15"/>
        <v>-25.65</v>
      </c>
      <c r="J103" s="43">
        <f t="shared" si="15"/>
        <v>-22.040625000000002</v>
      </c>
      <c r="K103" s="43">
        <f t="shared" si="15"/>
        <v>-18.112500000000001</v>
      </c>
      <c r="L103" s="17"/>
      <c r="M103" s="22"/>
    </row>
    <row r="104" spans="2:13" ht="17" customHeight="1" x14ac:dyDescent="0.2">
      <c r="B104" s="17"/>
      <c r="C104" s="8" t="s">
        <v>87</v>
      </c>
      <c r="D104" s="22" t="s">
        <v>5</v>
      </c>
      <c r="E104" s="10">
        <v>0.83650000000000002</v>
      </c>
      <c r="F104" s="43">
        <f>F77*F183</f>
        <v>4.1302771611500022</v>
      </c>
      <c r="G104" s="43">
        <f t="shared" ref="G104:K104" si="16">G77*G183</f>
        <v>7.7091235112481424</v>
      </c>
      <c r="H104" s="43">
        <f t="shared" si="16"/>
        <v>11.832547613807179</v>
      </c>
      <c r="I104" s="43">
        <f t="shared" si="16"/>
        <v>16.534279185956461</v>
      </c>
      <c r="J104" s="43">
        <f t="shared" si="16"/>
        <v>21.728774357001964</v>
      </c>
      <c r="K104" s="43">
        <f t="shared" si="16"/>
        <v>27.453527999894234</v>
      </c>
      <c r="L104" s="17"/>
      <c r="M104" s="22" t="s">
        <v>216</v>
      </c>
    </row>
    <row r="105" spans="2:13" ht="17" customHeight="1" x14ac:dyDescent="0.2">
      <c r="B105" s="17"/>
      <c r="C105" s="8" t="s">
        <v>88</v>
      </c>
      <c r="D105" s="22" t="s">
        <v>5</v>
      </c>
      <c r="E105" s="10">
        <v>3.2</v>
      </c>
      <c r="F105" s="43">
        <f>F53</f>
        <v>3</v>
      </c>
      <c r="G105" s="43">
        <f t="shared" ref="G105:K105" si="17">G53</f>
        <v>3</v>
      </c>
      <c r="H105" s="43">
        <f t="shared" si="17"/>
        <v>3</v>
      </c>
      <c r="I105" s="43">
        <f t="shared" si="17"/>
        <v>3</v>
      </c>
      <c r="J105" s="43">
        <f t="shared" si="17"/>
        <v>3</v>
      </c>
      <c r="K105" s="43">
        <f t="shared" si="17"/>
        <v>3</v>
      </c>
      <c r="L105" s="17"/>
      <c r="M105" s="22"/>
    </row>
    <row r="106" spans="2:13" ht="17" customHeight="1" x14ac:dyDescent="0.2">
      <c r="B106" s="17"/>
      <c r="C106" s="5" t="s">
        <v>34</v>
      </c>
      <c r="D106" s="22" t="s">
        <v>5</v>
      </c>
      <c r="E106" s="78">
        <f>SUM(E102:E105)</f>
        <v>192.64965000000004</v>
      </c>
      <c r="F106" s="78">
        <f>SUM(F102:F105)</f>
        <v>231.51141736115005</v>
      </c>
      <c r="G106" s="78">
        <f t="shared" ref="G106:K106" si="18">SUM(G102:G105)</f>
        <v>264.18446869524809</v>
      </c>
      <c r="H106" s="78">
        <f t="shared" si="18"/>
        <v>296.58054651454688</v>
      </c>
      <c r="I106" s="78">
        <f t="shared" si="18"/>
        <v>327.9125807546672</v>
      </c>
      <c r="J106" s="78">
        <f t="shared" si="18"/>
        <v>356.57314450526508</v>
      </c>
      <c r="K106" s="78">
        <f t="shared" si="18"/>
        <v>381.63526215123829</v>
      </c>
      <c r="L106" s="17"/>
      <c r="M106" s="22"/>
    </row>
    <row r="107" spans="2:13" ht="17" customHeight="1" x14ac:dyDescent="0.2">
      <c r="B107" s="17"/>
      <c r="C107" s="8" t="s">
        <v>89</v>
      </c>
      <c r="D107" s="22" t="s">
        <v>5</v>
      </c>
      <c r="E107" s="10">
        <v>-47.19916425000001</v>
      </c>
      <c r="F107" s="9">
        <f>-F106*$E$10</f>
        <v>-56.72029725348176</v>
      </c>
      <c r="G107" s="9">
        <f t="shared" ref="G107:K107" si="19">-G106*$E$10</f>
        <v>-64.725194830335781</v>
      </c>
      <c r="H107" s="9">
        <f t="shared" si="19"/>
        <v>-72.662233896063981</v>
      </c>
      <c r="I107" s="9">
        <f t="shared" si="19"/>
        <v>-80.338582284893462</v>
      </c>
      <c r="J107" s="9">
        <f t="shared" si="19"/>
        <v>-87.360420403789945</v>
      </c>
      <c r="K107" s="9">
        <f t="shared" si="19"/>
        <v>-93.500639227053384</v>
      </c>
      <c r="L107" s="17"/>
      <c r="M107" s="22"/>
    </row>
    <row r="108" spans="2:13" ht="17" customHeight="1" thickBot="1" x14ac:dyDescent="0.25">
      <c r="B108" s="17"/>
      <c r="C108" s="5" t="s">
        <v>36</v>
      </c>
      <c r="D108" s="22" t="s">
        <v>5</v>
      </c>
      <c r="E108" s="79">
        <f>SUM(E106:E107)</f>
        <v>145.45048575000004</v>
      </c>
      <c r="F108" s="79">
        <f>SUM(F106:F107)</f>
        <v>174.79112010766829</v>
      </c>
      <c r="G108" s="79">
        <f t="shared" ref="G108:K108" si="20">SUM(G106:G107)</f>
        <v>199.45927386491229</v>
      </c>
      <c r="H108" s="79">
        <f t="shared" si="20"/>
        <v>223.9183126184829</v>
      </c>
      <c r="I108" s="79">
        <f t="shared" si="20"/>
        <v>247.57399846977376</v>
      </c>
      <c r="J108" s="79">
        <f t="shared" si="20"/>
        <v>269.21272410147515</v>
      </c>
      <c r="K108" s="79">
        <f t="shared" si="20"/>
        <v>288.1346229241849</v>
      </c>
      <c r="L108" s="17"/>
      <c r="M108" s="22"/>
    </row>
    <row r="109" spans="2:13" ht="17" customHeight="1" thickTop="1" x14ac:dyDescent="0.2">
      <c r="B109" s="17"/>
      <c r="C109" s="17"/>
      <c r="D109" s="22"/>
      <c r="E109" s="10"/>
      <c r="F109" s="46"/>
      <c r="G109" s="46"/>
      <c r="H109" s="46"/>
      <c r="I109" s="46"/>
      <c r="J109" s="46"/>
      <c r="K109" s="46"/>
      <c r="L109" s="17"/>
      <c r="M109" s="22"/>
    </row>
    <row r="110" spans="2:13" ht="17" customHeight="1" x14ac:dyDescent="0.2">
      <c r="B110" s="17"/>
      <c r="C110" s="8" t="s">
        <v>90</v>
      </c>
      <c r="D110" s="22"/>
      <c r="E110" s="80">
        <f>$E$15</f>
        <v>55.593650793650795</v>
      </c>
      <c r="F110" s="80">
        <f t="shared" ref="F110:K110" si="21">$E$15</f>
        <v>55.593650793650795</v>
      </c>
      <c r="G110" s="80">
        <f t="shared" si="21"/>
        <v>55.593650793650795</v>
      </c>
      <c r="H110" s="80">
        <f t="shared" si="21"/>
        <v>55.593650793650795</v>
      </c>
      <c r="I110" s="80">
        <f t="shared" si="21"/>
        <v>55.593650793650795</v>
      </c>
      <c r="J110" s="80">
        <f t="shared" si="21"/>
        <v>55.593650793650795</v>
      </c>
      <c r="K110" s="80">
        <f t="shared" si="21"/>
        <v>55.593650793650795</v>
      </c>
      <c r="L110" s="17"/>
      <c r="M110" s="22" t="s">
        <v>207</v>
      </c>
    </row>
    <row r="111" spans="2:13" ht="17" customHeight="1" x14ac:dyDescent="0.2">
      <c r="B111" s="17"/>
      <c r="C111" s="5" t="s">
        <v>91</v>
      </c>
      <c r="D111" s="22"/>
      <c r="E111" s="81">
        <f>E108/E110</f>
        <v>2.6163146991348798</v>
      </c>
      <c r="F111" s="81">
        <f t="shared" ref="F111:K111" si="22">F108/F110</f>
        <v>3.1440842184739326</v>
      </c>
      <c r="G111" s="81">
        <f t="shared" si="22"/>
        <v>3.5878067192466521</v>
      </c>
      <c r="H111" s="81">
        <f t="shared" si="22"/>
        <v>4.0277677292611989</v>
      </c>
      <c r="I111" s="81">
        <f t="shared" si="22"/>
        <v>4.4532782959101604</v>
      </c>
      <c r="J111" s="81">
        <f t="shared" si="22"/>
        <v>4.8425084565991705</v>
      </c>
      <c r="K111" s="81">
        <f t="shared" si="22"/>
        <v>5.1828692451529372</v>
      </c>
      <c r="L111" s="17"/>
      <c r="M111" s="22"/>
    </row>
    <row r="112" spans="2:13" ht="17" customHeight="1" x14ac:dyDescent="0.2">
      <c r="B112" s="17"/>
      <c r="C112" s="5"/>
      <c r="D112" s="22"/>
      <c r="E112" s="54"/>
      <c r="F112" s="46"/>
      <c r="G112" s="46"/>
      <c r="H112" s="46"/>
      <c r="I112" s="46"/>
      <c r="J112" s="46"/>
      <c r="K112" s="46"/>
      <c r="L112" s="17"/>
      <c r="M112" s="22"/>
    </row>
    <row r="113" spans="2:13" ht="17" customHeight="1" x14ac:dyDescent="0.2">
      <c r="B113" s="36" t="s">
        <v>133</v>
      </c>
      <c r="C113" s="30"/>
      <c r="D113" s="72"/>
      <c r="E113" s="35"/>
      <c r="F113" s="40"/>
      <c r="G113" s="32" t="s">
        <v>12</v>
      </c>
      <c r="H113" s="32"/>
      <c r="I113" s="32"/>
      <c r="J113" s="32"/>
      <c r="K113" s="32"/>
      <c r="L113" s="17"/>
      <c r="M113" s="22"/>
    </row>
    <row r="114" spans="2:13" ht="17" customHeight="1" x14ac:dyDescent="0.2">
      <c r="B114" s="36"/>
      <c r="C114" s="30"/>
      <c r="D114" s="72"/>
      <c r="E114" s="33">
        <f>Merger_Model!$E$89</f>
        <v>45657</v>
      </c>
      <c r="F114" s="39">
        <f>Merger_Model!$F$89</f>
        <v>46022</v>
      </c>
      <c r="G114" s="39">
        <f>Merger_Model!$G$89</f>
        <v>46387</v>
      </c>
      <c r="H114" s="39">
        <f>Merger_Model!$H$89</f>
        <v>46752</v>
      </c>
      <c r="I114" s="39">
        <f>Merger_Model!$I$89</f>
        <v>47118</v>
      </c>
      <c r="J114" s="39">
        <f>Merger_Model!$J$89</f>
        <v>47483</v>
      </c>
      <c r="K114" s="39">
        <f>Merger_Model!$K$89</f>
        <v>47848</v>
      </c>
      <c r="L114" s="17"/>
      <c r="M114" s="22"/>
    </row>
    <row r="115" spans="2:13" ht="17" customHeight="1" x14ac:dyDescent="0.2">
      <c r="C115" s="58" t="s">
        <v>140</v>
      </c>
      <c r="D115" s="73"/>
      <c r="E115"/>
      <c r="F115"/>
      <c r="G115"/>
      <c r="H115"/>
      <c r="I115"/>
      <c r="J115"/>
      <c r="K115"/>
      <c r="L115" s="17"/>
      <c r="M115" s="22"/>
    </row>
    <row r="116" spans="2:13" ht="17" customHeight="1" x14ac:dyDescent="0.2">
      <c r="C116" s="14" t="s">
        <v>141</v>
      </c>
      <c r="D116" s="74" t="s">
        <v>61</v>
      </c>
      <c r="E116" s="10">
        <v>118.00791889000004</v>
      </c>
      <c r="F116" s="9">
        <f t="shared" ref="F116:K116" si="23">F184</f>
        <v>220.26067174994691</v>
      </c>
      <c r="G116" s="9">
        <f t="shared" si="23"/>
        <v>338.07278896591936</v>
      </c>
      <c r="H116" s="9">
        <f t="shared" si="23"/>
        <v>472.40797674161308</v>
      </c>
      <c r="I116" s="9">
        <f t="shared" si="23"/>
        <v>620.82212448577036</v>
      </c>
      <c r="J116" s="9">
        <f t="shared" si="23"/>
        <v>784.38651428269236</v>
      </c>
      <c r="K116" s="9">
        <f t="shared" si="23"/>
        <v>957.23205690974055</v>
      </c>
      <c r="L116" s="17"/>
      <c r="M116" s="22"/>
    </row>
    <row r="117" spans="2:13" ht="17" customHeight="1" x14ac:dyDescent="0.2">
      <c r="C117" s="14" t="s">
        <v>142</v>
      </c>
      <c r="D117" s="74" t="s">
        <v>61</v>
      </c>
      <c r="E117" s="10">
        <v>392.92</v>
      </c>
      <c r="F117" s="9">
        <f>F90*F55</f>
        <v>411.69200000000001</v>
      </c>
      <c r="G117" s="9">
        <f t="shared" ref="G117:K117" si="24">G90*G55</f>
        <v>433.81172399999997</v>
      </c>
      <c r="H117" s="9">
        <f t="shared" si="24"/>
        <v>456.01016024999996</v>
      </c>
      <c r="I117" s="9">
        <f t="shared" si="24"/>
        <v>477.78751629068</v>
      </c>
      <c r="J117" s="9">
        <f t="shared" si="24"/>
        <v>498.68345112494484</v>
      </c>
      <c r="K117" s="9">
        <f t="shared" si="24"/>
        <v>518.0750617534818</v>
      </c>
      <c r="L117" s="17"/>
      <c r="M117" s="22"/>
    </row>
    <row r="118" spans="2:13" ht="17" customHeight="1" x14ac:dyDescent="0.2">
      <c r="C118" s="14" t="s">
        <v>143</v>
      </c>
      <c r="D118" s="74" t="s">
        <v>61</v>
      </c>
      <c r="E118" s="10">
        <v>444.15469999999999</v>
      </c>
      <c r="F118" s="9">
        <f>-F91*F56</f>
        <v>460.22832</v>
      </c>
      <c r="G118" s="9">
        <f t="shared" ref="G118:K118" si="25">-G91*G56</f>
        <v>478.87677085499996</v>
      </c>
      <c r="H118" s="9">
        <f t="shared" si="25"/>
        <v>497.73508991287497</v>
      </c>
      <c r="I118" s="9">
        <f t="shared" si="25"/>
        <v>517.81793747463928</v>
      </c>
      <c r="J118" s="9">
        <f t="shared" si="25"/>
        <v>537.39703483069718</v>
      </c>
      <c r="K118" s="9">
        <f t="shared" si="25"/>
        <v>558.29404681066001</v>
      </c>
      <c r="L118" s="17"/>
      <c r="M118" s="22"/>
    </row>
    <row r="119" spans="2:13" ht="17" customHeight="1" x14ac:dyDescent="0.2">
      <c r="C119" s="5" t="s">
        <v>144</v>
      </c>
      <c r="D119" s="74" t="s">
        <v>61</v>
      </c>
      <c r="E119" s="59">
        <f t="shared" ref="E119:K119" si="26">SUM(E116:E118)</f>
        <v>955.08261889000005</v>
      </c>
      <c r="F119" s="59">
        <f t="shared" si="26"/>
        <v>1092.180991749947</v>
      </c>
      <c r="G119" s="59">
        <f t="shared" si="26"/>
        <v>1250.7612838209193</v>
      </c>
      <c r="H119" s="59">
        <f t="shared" si="26"/>
        <v>1426.1532269044878</v>
      </c>
      <c r="I119" s="59">
        <f t="shared" si="26"/>
        <v>1616.4275782510895</v>
      </c>
      <c r="J119" s="59">
        <f t="shared" si="26"/>
        <v>1820.4670002383345</v>
      </c>
      <c r="K119" s="59">
        <f t="shared" si="26"/>
        <v>2033.6011654738822</v>
      </c>
      <c r="L119" s="17"/>
      <c r="M119" s="22"/>
    </row>
    <row r="120" spans="2:13" ht="17" customHeight="1" x14ac:dyDescent="0.2">
      <c r="D120" s="73"/>
      <c r="E120"/>
      <c r="F120"/>
      <c r="G120"/>
      <c r="H120"/>
      <c r="I120"/>
      <c r="J120"/>
      <c r="K120"/>
      <c r="L120" s="17"/>
      <c r="M120" s="22"/>
    </row>
    <row r="121" spans="2:13" ht="17" customHeight="1" x14ac:dyDescent="0.2">
      <c r="C121" s="14" t="s">
        <v>145</v>
      </c>
      <c r="D121" s="74" t="s">
        <v>61</v>
      </c>
      <c r="E121" s="10">
        <v>268</v>
      </c>
      <c r="F121" s="9">
        <f>E121-F152-F155-F169-F170</f>
        <v>280.6259</v>
      </c>
      <c r="G121" s="9">
        <f t="shared" ref="G121:K121" si="27">F121-G152-G155-G169-G170</f>
        <v>292.32521760000003</v>
      </c>
      <c r="H121" s="9">
        <f t="shared" si="27"/>
        <v>303.22550502812504</v>
      </c>
      <c r="I121" s="9">
        <f t="shared" si="27"/>
        <v>313.48452682768857</v>
      </c>
      <c r="J121" s="9">
        <f t="shared" si="27"/>
        <v>322.9673694522761</v>
      </c>
      <c r="K121" s="9">
        <f t="shared" si="27"/>
        <v>332.89672942686286</v>
      </c>
      <c r="L121" s="17"/>
      <c r="M121" s="22"/>
    </row>
    <row r="122" spans="2:13" ht="17" customHeight="1" x14ac:dyDescent="0.2">
      <c r="C122" s="14" t="s">
        <v>146</v>
      </c>
      <c r="D122" s="74" t="s">
        <v>61</v>
      </c>
      <c r="E122" s="10">
        <v>81.899748000000002</v>
      </c>
      <c r="F122" s="9">
        <f>-F95*F57</f>
        <v>84.088941263999999</v>
      </c>
      <c r="G122" s="9">
        <f t="shared" ref="G122:K122" si="28">-G95*G57</f>
        <v>88.542441560880022</v>
      </c>
      <c r="H122" s="9">
        <f t="shared" si="28"/>
        <v>92.903363682616828</v>
      </c>
      <c r="I122" s="9">
        <f t="shared" si="28"/>
        <v>97.111005322187324</v>
      </c>
      <c r="J122" s="9">
        <f t="shared" si="28"/>
        <v>101.18119771367606</v>
      </c>
      <c r="K122" s="9">
        <f t="shared" si="28"/>
        <v>104.94171552187721</v>
      </c>
      <c r="L122" s="17"/>
      <c r="M122" s="22"/>
    </row>
    <row r="123" spans="2:13" ht="17" customHeight="1" x14ac:dyDescent="0.2">
      <c r="C123" s="14" t="s">
        <v>147</v>
      </c>
      <c r="D123" s="74" t="s">
        <v>61</v>
      </c>
      <c r="E123" s="10">
        <v>470</v>
      </c>
      <c r="F123" s="9">
        <f>E123-F171</f>
        <v>470</v>
      </c>
      <c r="G123" s="9">
        <f t="shared" ref="G123:K123" si="29">F123-G171</f>
        <v>470</v>
      </c>
      <c r="H123" s="9">
        <f t="shared" si="29"/>
        <v>470</v>
      </c>
      <c r="I123" s="9">
        <f t="shared" si="29"/>
        <v>470</v>
      </c>
      <c r="J123" s="9">
        <f t="shared" si="29"/>
        <v>470</v>
      </c>
      <c r="K123" s="9">
        <f t="shared" si="29"/>
        <v>470</v>
      </c>
      <c r="L123" s="17"/>
      <c r="M123" s="22"/>
    </row>
    <row r="124" spans="2:13" ht="17" customHeight="1" x14ac:dyDescent="0.2">
      <c r="C124" s="14" t="s">
        <v>148</v>
      </c>
      <c r="D124" s="74" t="s">
        <v>61</v>
      </c>
      <c r="E124" s="10">
        <v>205</v>
      </c>
      <c r="F124" s="9">
        <f>E124-F153</f>
        <v>188.47815</v>
      </c>
      <c r="G124" s="9">
        <f t="shared" ref="G124:K124" si="30">F124-G153</f>
        <v>171.63940545</v>
      </c>
      <c r="H124" s="9">
        <f t="shared" si="30"/>
        <v>154.53902444062498</v>
      </c>
      <c r="I124" s="9">
        <f t="shared" si="30"/>
        <v>137.2506603643175</v>
      </c>
      <c r="J124" s="9">
        <f t="shared" si="30"/>
        <v>119.86235581851349</v>
      </c>
      <c r="K124" s="9">
        <f t="shared" si="30"/>
        <v>102.47957414125851</v>
      </c>
      <c r="L124" s="17"/>
      <c r="M124" s="22"/>
    </row>
    <row r="125" spans="2:13" ht="17" customHeight="1" x14ac:dyDescent="0.2">
      <c r="C125" s="14" t="s">
        <v>149</v>
      </c>
      <c r="D125" s="74" t="s">
        <v>61</v>
      </c>
      <c r="E125" s="10">
        <v>26</v>
      </c>
      <c r="F125" s="9">
        <f>E125</f>
        <v>26</v>
      </c>
      <c r="G125" s="9">
        <f t="shared" ref="G125:K125" si="31">F125</f>
        <v>26</v>
      </c>
      <c r="H125" s="9">
        <f t="shared" si="31"/>
        <v>26</v>
      </c>
      <c r="I125" s="9">
        <f t="shared" si="31"/>
        <v>26</v>
      </c>
      <c r="J125" s="9">
        <f t="shared" si="31"/>
        <v>26</v>
      </c>
      <c r="K125" s="9">
        <f t="shared" si="31"/>
        <v>26</v>
      </c>
      <c r="L125" s="17"/>
      <c r="M125" s="22"/>
    </row>
    <row r="126" spans="2:13" ht="17" customHeight="1" x14ac:dyDescent="0.2">
      <c r="C126" s="5" t="s">
        <v>150</v>
      </c>
      <c r="D126" s="74" t="s">
        <v>61</v>
      </c>
      <c r="E126" s="59">
        <f t="shared" ref="E126:K126" si="32">SUM(E121:E125)</f>
        <v>1050.899748</v>
      </c>
      <c r="F126" s="59">
        <f t="shared" si="32"/>
        <v>1049.1929912640001</v>
      </c>
      <c r="G126" s="59">
        <f t="shared" si="32"/>
        <v>1048.5070646108802</v>
      </c>
      <c r="H126" s="59">
        <f t="shared" si="32"/>
        <v>1046.667893151367</v>
      </c>
      <c r="I126" s="59">
        <f t="shared" si="32"/>
        <v>1043.8461925141933</v>
      </c>
      <c r="J126" s="59">
        <f t="shared" si="32"/>
        <v>1040.0109229844657</v>
      </c>
      <c r="K126" s="59">
        <f t="shared" si="32"/>
        <v>1036.3180190899984</v>
      </c>
      <c r="L126" s="17"/>
      <c r="M126" s="22"/>
    </row>
    <row r="127" spans="2:13" ht="17" customHeight="1" x14ac:dyDescent="0.2">
      <c r="D127" s="73"/>
      <c r="E127"/>
      <c r="F127"/>
      <c r="G127"/>
      <c r="H127"/>
      <c r="I127"/>
      <c r="J127"/>
      <c r="K127"/>
      <c r="L127" s="17"/>
      <c r="M127" s="22"/>
    </row>
    <row r="128" spans="2:13" ht="17" customHeight="1" thickBot="1" x14ac:dyDescent="0.25">
      <c r="C128" s="5" t="s">
        <v>151</v>
      </c>
      <c r="D128" s="74" t="s">
        <v>61</v>
      </c>
      <c r="E128" s="11">
        <f t="shared" ref="E128:K128" si="33">E119+E126</f>
        <v>2005.9823668900001</v>
      </c>
      <c r="F128" s="11">
        <f t="shared" si="33"/>
        <v>2141.3739830139471</v>
      </c>
      <c r="G128" s="11">
        <f t="shared" si="33"/>
        <v>2299.2683484317995</v>
      </c>
      <c r="H128" s="11">
        <f t="shared" si="33"/>
        <v>2472.8211200558549</v>
      </c>
      <c r="I128" s="11">
        <f t="shared" si="33"/>
        <v>2660.2737707652827</v>
      </c>
      <c r="J128" s="11">
        <f t="shared" si="33"/>
        <v>2860.4779232228002</v>
      </c>
      <c r="K128" s="11">
        <f t="shared" si="33"/>
        <v>3069.9191845638807</v>
      </c>
      <c r="L128" s="17"/>
      <c r="M128" s="22"/>
    </row>
    <row r="129" spans="3:13" ht="17" customHeight="1" thickTop="1" x14ac:dyDescent="0.2">
      <c r="D129" s="73"/>
      <c r="E129"/>
      <c r="F129"/>
      <c r="G129"/>
      <c r="H129"/>
      <c r="I129"/>
      <c r="J129"/>
      <c r="K129"/>
      <c r="L129" s="17"/>
      <c r="M129" s="22"/>
    </row>
    <row r="130" spans="3:13" ht="17" customHeight="1" x14ac:dyDescent="0.2">
      <c r="C130" s="58" t="s">
        <v>152</v>
      </c>
      <c r="D130" s="73"/>
      <c r="E130"/>
      <c r="F130"/>
      <c r="G130"/>
      <c r="H130"/>
      <c r="I130"/>
      <c r="J130"/>
      <c r="K130"/>
      <c r="L130" s="17"/>
      <c r="M130" s="22"/>
    </row>
    <row r="131" spans="3:13" ht="17" customHeight="1" x14ac:dyDescent="0.2">
      <c r="C131" s="14" t="s">
        <v>38</v>
      </c>
      <c r="D131" s="74" t="s">
        <v>61</v>
      </c>
      <c r="E131" s="10">
        <v>229.41874999999999</v>
      </c>
      <c r="F131" s="9">
        <f>-F91*F58</f>
        <v>239.70224999999999</v>
      </c>
      <c r="G131" s="9">
        <f t="shared" ref="G131:K131" si="34">-G91*G58</f>
        <v>251.51090906249999</v>
      </c>
      <c r="H131" s="9">
        <f t="shared" si="34"/>
        <v>263.63087389453125</v>
      </c>
      <c r="I131" s="9">
        <f t="shared" si="34"/>
        <v>275.43507312480813</v>
      </c>
      <c r="J131" s="9">
        <f t="shared" si="34"/>
        <v>287.07106561468862</v>
      </c>
      <c r="K131" s="9">
        <f t="shared" si="34"/>
        <v>298.23399936466876</v>
      </c>
      <c r="L131" s="17"/>
      <c r="M131" s="22"/>
    </row>
    <row r="132" spans="3:13" ht="17" customHeight="1" x14ac:dyDescent="0.2">
      <c r="C132" s="14" t="s">
        <v>39</v>
      </c>
      <c r="D132" s="74" t="s">
        <v>61</v>
      </c>
      <c r="E132" s="10">
        <v>120.57462900000002</v>
      </c>
      <c r="F132" s="9">
        <f>-F95*F59</f>
        <v>123.79760797200002</v>
      </c>
      <c r="G132" s="9">
        <f t="shared" ref="G132:K132" si="35">-G95*G59</f>
        <v>130.35415007574005</v>
      </c>
      <c r="H132" s="9">
        <f t="shared" si="35"/>
        <v>136.77439653274146</v>
      </c>
      <c r="I132" s="9">
        <f t="shared" si="35"/>
        <v>142.96898005766468</v>
      </c>
      <c r="J132" s="9">
        <f t="shared" si="35"/>
        <v>148.9612077451342</v>
      </c>
      <c r="K132" s="9">
        <f t="shared" si="35"/>
        <v>154.49752562943036</v>
      </c>
      <c r="L132" s="17"/>
      <c r="M132" s="22"/>
    </row>
    <row r="133" spans="3:13" ht="17" customHeight="1" x14ac:dyDescent="0.2">
      <c r="C133" s="5" t="s">
        <v>153</v>
      </c>
      <c r="D133" s="74" t="s">
        <v>61</v>
      </c>
      <c r="E133" s="59">
        <f t="shared" ref="E133:K133" si="36">SUM(E131:E132)</f>
        <v>349.993379</v>
      </c>
      <c r="F133" s="59">
        <f t="shared" si="36"/>
        <v>363.49985797200003</v>
      </c>
      <c r="G133" s="59">
        <f t="shared" si="36"/>
        <v>381.86505913824004</v>
      </c>
      <c r="H133" s="59">
        <f t="shared" si="36"/>
        <v>400.40527042727274</v>
      </c>
      <c r="I133" s="59">
        <f t="shared" si="36"/>
        <v>418.40405318247281</v>
      </c>
      <c r="J133" s="59">
        <f t="shared" si="36"/>
        <v>436.03227335982285</v>
      </c>
      <c r="K133" s="59">
        <f t="shared" si="36"/>
        <v>452.73152499409912</v>
      </c>
      <c r="L133" s="17"/>
      <c r="M133" s="22"/>
    </row>
    <row r="134" spans="3:13" ht="17" customHeight="1" x14ac:dyDescent="0.2">
      <c r="D134" s="73"/>
      <c r="E134"/>
      <c r="F134"/>
      <c r="G134"/>
      <c r="H134"/>
      <c r="I134"/>
      <c r="J134"/>
      <c r="K134"/>
      <c r="L134" s="17"/>
      <c r="M134" s="22"/>
    </row>
    <row r="135" spans="3:13" ht="17" customHeight="1" x14ac:dyDescent="0.2">
      <c r="C135" s="14" t="s">
        <v>154</v>
      </c>
      <c r="D135" s="74" t="s">
        <v>61</v>
      </c>
      <c r="E135" s="10">
        <v>545</v>
      </c>
      <c r="F135" s="9">
        <f>E135+F175+F174+F178+F154</f>
        <v>506.7</v>
      </c>
      <c r="G135" s="9">
        <f t="shared" ref="G135:K135" si="37">F135+G175+G174+G178+G154</f>
        <v>463.3</v>
      </c>
      <c r="H135" s="9">
        <f t="shared" si="37"/>
        <v>414.8</v>
      </c>
      <c r="I135" s="9">
        <f t="shared" si="37"/>
        <v>361.2</v>
      </c>
      <c r="J135" s="9">
        <f t="shared" si="37"/>
        <v>302.5</v>
      </c>
      <c r="K135" s="9">
        <f t="shared" si="37"/>
        <v>238.7</v>
      </c>
      <c r="L135" s="17"/>
      <c r="M135" s="22" t="s">
        <v>214</v>
      </c>
    </row>
    <row r="136" spans="3:13" ht="17" customHeight="1" x14ac:dyDescent="0.2">
      <c r="C136" s="14" t="s">
        <v>40</v>
      </c>
      <c r="D136" s="74" t="s">
        <v>61</v>
      </c>
      <c r="E136" s="9">
        <v>81.899748000000002</v>
      </c>
      <c r="F136" s="9">
        <f t="shared" ref="F136:K136" si="38">F122</f>
        <v>84.088941263999999</v>
      </c>
      <c r="G136" s="9">
        <f t="shared" si="38"/>
        <v>88.542441560880022</v>
      </c>
      <c r="H136" s="9">
        <f t="shared" si="38"/>
        <v>92.903363682616828</v>
      </c>
      <c r="I136" s="9">
        <f t="shared" si="38"/>
        <v>97.111005322187324</v>
      </c>
      <c r="J136" s="9">
        <f t="shared" si="38"/>
        <v>101.18119771367606</v>
      </c>
      <c r="K136" s="9">
        <f t="shared" si="38"/>
        <v>104.94171552187721</v>
      </c>
      <c r="L136" s="17"/>
      <c r="M136" s="22"/>
    </row>
    <row r="137" spans="3:13" ht="17" customHeight="1" x14ac:dyDescent="0.2">
      <c r="C137" s="14" t="s">
        <v>155</v>
      </c>
      <c r="D137" s="74" t="s">
        <v>61</v>
      </c>
      <c r="E137" s="10">
        <v>8</v>
      </c>
      <c r="F137" s="9">
        <f t="shared" ref="F137:K138" si="39">E137+F157</f>
        <v>12.53762378027854</v>
      </c>
      <c r="G137" s="9">
        <f t="shared" si="39"/>
        <v>16.421135470098687</v>
      </c>
      <c r="H137" s="9">
        <f t="shared" si="39"/>
        <v>20.054247164901888</v>
      </c>
      <c r="I137" s="9">
        <f t="shared" si="39"/>
        <v>23.267790456297625</v>
      </c>
      <c r="J137" s="9">
        <f t="shared" si="39"/>
        <v>26.762207272449224</v>
      </c>
      <c r="K137" s="9">
        <f t="shared" si="39"/>
        <v>30.502232841531359</v>
      </c>
      <c r="L137" s="17"/>
      <c r="M137" s="22"/>
    </row>
    <row r="138" spans="3:13" ht="17" customHeight="1" x14ac:dyDescent="0.2">
      <c r="C138" s="14" t="s">
        <v>156</v>
      </c>
      <c r="D138" s="74" t="s">
        <v>61</v>
      </c>
      <c r="E138" s="10">
        <v>41.98923989</v>
      </c>
      <c r="F138" s="9">
        <f t="shared" si="39"/>
        <v>41.98923989</v>
      </c>
      <c r="G138" s="9">
        <f t="shared" si="39"/>
        <v>41.98923989</v>
      </c>
      <c r="H138" s="9">
        <f t="shared" si="39"/>
        <v>41.98923989</v>
      </c>
      <c r="I138" s="9">
        <f t="shared" si="39"/>
        <v>41.98923989</v>
      </c>
      <c r="J138" s="9">
        <f t="shared" si="39"/>
        <v>41.98923989</v>
      </c>
      <c r="K138" s="9">
        <f t="shared" si="39"/>
        <v>41.98923989</v>
      </c>
      <c r="L138" s="17"/>
      <c r="M138" s="22"/>
    </row>
    <row r="139" spans="3:13" ht="17" customHeight="1" x14ac:dyDescent="0.2">
      <c r="C139" s="5" t="s">
        <v>157</v>
      </c>
      <c r="D139" s="74" t="s">
        <v>61</v>
      </c>
      <c r="E139" s="59">
        <f t="shared" ref="E139:K139" si="40">SUM(E135:E138)</f>
        <v>676.88898789000007</v>
      </c>
      <c r="F139" s="59">
        <f t="shared" si="40"/>
        <v>645.3158049342785</v>
      </c>
      <c r="G139" s="59">
        <f t="shared" si="40"/>
        <v>610.25281692097872</v>
      </c>
      <c r="H139" s="59">
        <f t="shared" si="40"/>
        <v>569.7468507375188</v>
      </c>
      <c r="I139" s="59">
        <f t="shared" si="40"/>
        <v>523.56803566848498</v>
      </c>
      <c r="J139" s="59">
        <f t="shared" si="40"/>
        <v>472.43264487612532</v>
      </c>
      <c r="K139" s="59">
        <f t="shared" si="40"/>
        <v>416.13318825340855</v>
      </c>
      <c r="L139" s="17"/>
      <c r="M139" s="22"/>
    </row>
    <row r="140" spans="3:13" ht="17" customHeight="1" x14ac:dyDescent="0.2">
      <c r="D140" s="73"/>
      <c r="E140"/>
      <c r="F140"/>
      <c r="G140"/>
      <c r="H140"/>
      <c r="I140"/>
      <c r="J140"/>
      <c r="K140"/>
      <c r="L140" s="17"/>
      <c r="M140" s="22"/>
    </row>
    <row r="141" spans="3:13" ht="17" customHeight="1" x14ac:dyDescent="0.2">
      <c r="C141" s="5" t="s">
        <v>158</v>
      </c>
      <c r="D141" s="74" t="s">
        <v>61</v>
      </c>
      <c r="E141" s="7">
        <f t="shared" ref="E141:K141" si="41">E133+E139</f>
        <v>1026.88236689</v>
      </c>
      <c r="F141" s="7">
        <f t="shared" si="41"/>
        <v>1008.8156629062785</v>
      </c>
      <c r="G141" s="7">
        <f t="shared" si="41"/>
        <v>992.11787605921882</v>
      </c>
      <c r="H141" s="7">
        <f t="shared" si="41"/>
        <v>970.15212116479154</v>
      </c>
      <c r="I141" s="7">
        <f t="shared" si="41"/>
        <v>941.97208885095779</v>
      </c>
      <c r="J141" s="7">
        <f t="shared" si="41"/>
        <v>908.46491823594818</v>
      </c>
      <c r="K141" s="7">
        <f t="shared" si="41"/>
        <v>868.86471324750767</v>
      </c>
      <c r="L141" s="17"/>
      <c r="M141" s="22"/>
    </row>
    <row r="142" spans="3:13" ht="17" customHeight="1" x14ac:dyDescent="0.2">
      <c r="D142" s="73"/>
      <c r="E142"/>
      <c r="F142"/>
      <c r="G142"/>
      <c r="H142"/>
      <c r="I142"/>
      <c r="J142"/>
      <c r="K142"/>
      <c r="L142" s="17"/>
      <c r="M142" s="22"/>
    </row>
    <row r="143" spans="3:13" ht="17" customHeight="1" x14ac:dyDescent="0.2">
      <c r="C143" s="5" t="s">
        <v>31</v>
      </c>
      <c r="D143" s="74" t="s">
        <v>61</v>
      </c>
      <c r="E143" s="10">
        <v>979.1</v>
      </c>
      <c r="F143" s="9">
        <f t="shared" ref="F143:K143" si="42">E143+F151+F156+F176+F177</f>
        <v>1132.5583201076684</v>
      </c>
      <c r="G143" s="9">
        <f t="shared" si="42"/>
        <v>1307.1504723725807</v>
      </c>
      <c r="H143" s="9">
        <f t="shared" si="42"/>
        <v>1502.6689988910637</v>
      </c>
      <c r="I143" s="9">
        <f t="shared" si="42"/>
        <v>1718.3016819143254</v>
      </c>
      <c r="J143" s="9">
        <f t="shared" si="42"/>
        <v>1952.0130049868519</v>
      </c>
      <c r="K143" s="9">
        <f t="shared" si="42"/>
        <v>2201.0544713163731</v>
      </c>
      <c r="L143" s="17"/>
      <c r="M143" s="22" t="s">
        <v>215</v>
      </c>
    </row>
    <row r="144" spans="3:13" ht="17" customHeight="1" x14ac:dyDescent="0.2">
      <c r="D144" s="73"/>
      <c r="E144"/>
      <c r="F144"/>
      <c r="G144"/>
      <c r="H144"/>
      <c r="I144"/>
      <c r="J144"/>
      <c r="K144"/>
      <c r="L144" s="17"/>
      <c r="M144" s="22"/>
    </row>
    <row r="145" spans="2:13" ht="17" customHeight="1" thickBot="1" x14ac:dyDescent="0.25">
      <c r="C145" s="5" t="s">
        <v>159</v>
      </c>
      <c r="D145" s="74" t="s">
        <v>61</v>
      </c>
      <c r="E145" s="11">
        <f t="shared" ref="E145:K145" si="43">E141+E143</f>
        <v>2005.9823668899999</v>
      </c>
      <c r="F145" s="11">
        <f t="shared" si="43"/>
        <v>2141.3739830139466</v>
      </c>
      <c r="G145" s="11">
        <f t="shared" si="43"/>
        <v>2299.2683484317995</v>
      </c>
      <c r="H145" s="11">
        <f t="shared" si="43"/>
        <v>2472.8211200558553</v>
      </c>
      <c r="I145" s="11">
        <f t="shared" si="43"/>
        <v>2660.2737707652832</v>
      </c>
      <c r="J145" s="11">
        <f t="shared" si="43"/>
        <v>2860.4779232228002</v>
      </c>
      <c r="K145" s="11">
        <f t="shared" si="43"/>
        <v>3069.9191845638807</v>
      </c>
      <c r="L145" s="17"/>
      <c r="M145" s="22"/>
    </row>
    <row r="146" spans="2:13" ht="17" customHeight="1" thickTop="1" x14ac:dyDescent="0.2">
      <c r="D146" s="73"/>
      <c r="E146"/>
      <c r="F146"/>
      <c r="G146"/>
      <c r="H146"/>
      <c r="I146"/>
      <c r="J146"/>
      <c r="K146"/>
      <c r="L146" s="17"/>
      <c r="M146" s="22"/>
    </row>
    <row r="147" spans="2:13" ht="17" customHeight="1" x14ac:dyDescent="0.2">
      <c r="C147" s="5" t="s">
        <v>160</v>
      </c>
      <c r="D147" s="74" t="s">
        <v>61</v>
      </c>
      <c r="E147" s="60">
        <f t="shared" ref="E147:K147" si="44">ROUND(E128-E145,6)</f>
        <v>0</v>
      </c>
      <c r="F147" s="60">
        <f t="shared" si="44"/>
        <v>0</v>
      </c>
      <c r="G147" s="60">
        <f t="shared" si="44"/>
        <v>0</v>
      </c>
      <c r="H147" s="60">
        <f t="shared" si="44"/>
        <v>0</v>
      </c>
      <c r="I147" s="60">
        <f t="shared" si="44"/>
        <v>0</v>
      </c>
      <c r="J147" s="60">
        <f t="shared" si="44"/>
        <v>0</v>
      </c>
      <c r="K147" s="60">
        <f t="shared" si="44"/>
        <v>0</v>
      </c>
      <c r="L147" s="17"/>
      <c r="M147" s="22"/>
    </row>
    <row r="148" spans="2:13" ht="17" customHeight="1" x14ac:dyDescent="0.2">
      <c r="D148" s="73"/>
      <c r="E148"/>
      <c r="F148"/>
      <c r="G148"/>
      <c r="H148"/>
      <c r="I148"/>
      <c r="J148"/>
      <c r="K148"/>
      <c r="L148" s="17"/>
      <c r="M148" s="22"/>
    </row>
    <row r="149" spans="2:13" ht="17" customHeight="1" x14ac:dyDescent="0.2">
      <c r="B149" s="36" t="s">
        <v>198</v>
      </c>
      <c r="C149" s="30"/>
      <c r="D149" s="72"/>
      <c r="E149" s="35"/>
      <c r="F149" s="40"/>
      <c r="G149" s="32" t="s">
        <v>12</v>
      </c>
      <c r="H149" s="32"/>
      <c r="I149" s="32"/>
      <c r="J149" s="32"/>
      <c r="K149" s="32"/>
      <c r="L149" s="17"/>
      <c r="M149" s="22"/>
    </row>
    <row r="150" spans="2:13" ht="17" customHeight="1" x14ac:dyDescent="0.2">
      <c r="B150" s="36"/>
      <c r="C150" s="30"/>
      <c r="D150" s="72"/>
      <c r="E150" s="33">
        <f>Merger_Model!$E$89</f>
        <v>45657</v>
      </c>
      <c r="F150" s="39">
        <f>Merger_Model!$F$89</f>
        <v>46022</v>
      </c>
      <c r="G150" s="39">
        <f>Merger_Model!$G$89</f>
        <v>46387</v>
      </c>
      <c r="H150" s="39">
        <f>Merger_Model!$H$89</f>
        <v>46752</v>
      </c>
      <c r="I150" s="39">
        <f>Merger_Model!$I$89</f>
        <v>47118</v>
      </c>
      <c r="J150" s="39">
        <f>Merger_Model!$J$89</f>
        <v>47483</v>
      </c>
      <c r="K150" s="39">
        <f>Merger_Model!$K$89</f>
        <v>47848</v>
      </c>
      <c r="L150" s="17"/>
      <c r="M150" s="22"/>
    </row>
    <row r="151" spans="2:13" ht="17" customHeight="1" x14ac:dyDescent="0.2">
      <c r="C151" s="5" t="s">
        <v>36</v>
      </c>
      <c r="D151" s="74" t="s">
        <v>61</v>
      </c>
      <c r="E151" s="7">
        <f t="shared" ref="E151:K151" si="45">E108</f>
        <v>145.45048575000004</v>
      </c>
      <c r="F151" s="7">
        <f t="shared" si="45"/>
        <v>174.79112010766829</v>
      </c>
      <c r="G151" s="7">
        <f t="shared" si="45"/>
        <v>199.45927386491229</v>
      </c>
      <c r="H151" s="7">
        <f t="shared" si="45"/>
        <v>223.9183126184829</v>
      </c>
      <c r="I151" s="7">
        <f t="shared" si="45"/>
        <v>247.57399846977376</v>
      </c>
      <c r="J151" s="7">
        <f t="shared" si="45"/>
        <v>269.21272410147515</v>
      </c>
      <c r="K151" s="7">
        <f t="shared" si="45"/>
        <v>288.1346229241849</v>
      </c>
      <c r="L151" s="17"/>
      <c r="M151" s="22"/>
    </row>
    <row r="152" spans="2:13" ht="17" customHeight="1" x14ac:dyDescent="0.2">
      <c r="C152" s="14" t="s">
        <v>161</v>
      </c>
      <c r="D152" s="74" t="s">
        <v>61</v>
      </c>
      <c r="E152" s="9">
        <f>-E96</f>
        <v>40.067500000000003</v>
      </c>
      <c r="F152" s="9">
        <f t="shared" ref="F152:K153" si="46">-F96</f>
        <v>42.252600000000001</v>
      </c>
      <c r="G152" s="9">
        <f t="shared" si="46"/>
        <v>44.808184649999994</v>
      </c>
      <c r="H152" s="9">
        <f t="shared" si="46"/>
        <v>47.101049446874995</v>
      </c>
      <c r="I152" s="9">
        <f t="shared" si="46"/>
        <v>49.036087198254002</v>
      </c>
      <c r="J152" s="9">
        <f t="shared" si="46"/>
        <v>50.852588766030564</v>
      </c>
      <c r="K152" s="9">
        <f t="shared" si="46"/>
        <v>52.830022744598473</v>
      </c>
      <c r="L152" s="17"/>
      <c r="M152" s="22"/>
    </row>
    <row r="153" spans="2:13" ht="17" customHeight="1" x14ac:dyDescent="0.2">
      <c r="C153" s="14" t="s">
        <v>162</v>
      </c>
      <c r="D153" s="74" t="s">
        <v>61</v>
      </c>
      <c r="E153" s="9">
        <f>-E97</f>
        <v>16.027000000000001</v>
      </c>
      <c r="F153" s="9">
        <f t="shared" si="46"/>
        <v>16.521850000000001</v>
      </c>
      <c r="G153" s="9">
        <f t="shared" si="46"/>
        <v>16.838744550000001</v>
      </c>
      <c r="H153" s="9">
        <f t="shared" si="46"/>
        <v>17.100381009374999</v>
      </c>
      <c r="I153" s="9">
        <f t="shared" si="46"/>
        <v>17.288364076307499</v>
      </c>
      <c r="J153" s="9">
        <f t="shared" si="46"/>
        <v>17.388304545803997</v>
      </c>
      <c r="K153" s="9">
        <f t="shared" si="46"/>
        <v>17.382781677254982</v>
      </c>
      <c r="L153" s="17"/>
      <c r="M153" s="22"/>
    </row>
    <row r="154" spans="2:13" ht="17" customHeight="1" x14ac:dyDescent="0.2">
      <c r="C154" s="14" t="s">
        <v>163</v>
      </c>
      <c r="D154" s="74" t="s">
        <v>61</v>
      </c>
      <c r="E154" s="10">
        <v>1.8</v>
      </c>
      <c r="F154" s="9">
        <f>F78</f>
        <v>1.7</v>
      </c>
      <c r="G154" s="9">
        <f t="shared" ref="G154:K154" si="47">G78</f>
        <v>1.6</v>
      </c>
      <c r="H154" s="9">
        <f t="shared" si="47"/>
        <v>1.5</v>
      </c>
      <c r="I154" s="9">
        <f t="shared" si="47"/>
        <v>1.4</v>
      </c>
      <c r="J154" s="9">
        <f t="shared" si="47"/>
        <v>1.3</v>
      </c>
      <c r="K154" s="9">
        <f t="shared" si="47"/>
        <v>1.2</v>
      </c>
      <c r="L154" s="17"/>
      <c r="M154" s="22"/>
    </row>
    <row r="155" spans="2:13" ht="17" customHeight="1" x14ac:dyDescent="0.2">
      <c r="C155" s="14" t="s">
        <v>164</v>
      </c>
      <c r="D155" s="74" t="s">
        <v>61</v>
      </c>
      <c r="E155" s="10">
        <v>2.5</v>
      </c>
      <c r="F155" s="9">
        <f>-F99</f>
        <v>0</v>
      </c>
      <c r="G155" s="9">
        <f t="shared" ref="G155:K155" si="48">-G99</f>
        <v>0</v>
      </c>
      <c r="H155" s="9">
        <f t="shared" si="48"/>
        <v>0</v>
      </c>
      <c r="I155" s="9">
        <f t="shared" si="48"/>
        <v>0</v>
      </c>
      <c r="J155" s="9">
        <f t="shared" si="48"/>
        <v>0</v>
      </c>
      <c r="K155" s="9">
        <f t="shared" si="48"/>
        <v>0</v>
      </c>
      <c r="L155" s="17"/>
      <c r="M155" s="22"/>
    </row>
    <row r="156" spans="2:13" ht="17" customHeight="1" x14ac:dyDescent="0.2">
      <c r="C156" s="14" t="s">
        <v>165</v>
      </c>
      <c r="D156" s="74" t="s">
        <v>61</v>
      </c>
      <c r="E156" s="10">
        <v>8.2720000000000002</v>
      </c>
      <c r="F156" s="9">
        <f>F90*F61</f>
        <v>8.6672000000000011</v>
      </c>
      <c r="G156" s="9">
        <f t="shared" ref="G156:K156" si="49">G90*G61</f>
        <v>9.132878400000001</v>
      </c>
      <c r="H156" s="9">
        <f t="shared" si="49"/>
        <v>9.6002139</v>
      </c>
      <c r="I156" s="9">
        <f t="shared" si="49"/>
        <v>10.058684553488002</v>
      </c>
      <c r="J156" s="9">
        <f t="shared" si="49"/>
        <v>10.498598971051472</v>
      </c>
      <c r="K156" s="9">
        <f t="shared" si="49"/>
        <v>10.90684340533646</v>
      </c>
      <c r="L156" s="17"/>
      <c r="M156" s="22"/>
    </row>
    <row r="157" spans="2:13" ht="17" customHeight="1" x14ac:dyDescent="0.2">
      <c r="C157" s="14" t="s">
        <v>166</v>
      </c>
      <c r="D157" s="74" t="s">
        <v>61</v>
      </c>
      <c r="E157" s="10">
        <v>3.7759331400000007</v>
      </c>
      <c r="F157" s="9">
        <f>-F107*F62</f>
        <v>4.5376237802785413</v>
      </c>
      <c r="G157" s="9">
        <f t="shared" ref="G157:K157" si="50">-G107*G62</f>
        <v>3.8835116898201467</v>
      </c>
      <c r="H157" s="9">
        <f t="shared" si="50"/>
        <v>3.6331116948031994</v>
      </c>
      <c r="I157" s="9">
        <f t="shared" si="50"/>
        <v>3.2135432913957387</v>
      </c>
      <c r="J157" s="9">
        <f t="shared" si="50"/>
        <v>3.494416816151598</v>
      </c>
      <c r="K157" s="9">
        <f t="shared" si="50"/>
        <v>3.7400255690821353</v>
      </c>
      <c r="L157" s="17"/>
      <c r="M157" s="22"/>
    </row>
    <row r="158" spans="2:13" ht="17" customHeight="1" x14ac:dyDescent="0.2">
      <c r="C158" s="14" t="s">
        <v>167</v>
      </c>
      <c r="D158" s="74" t="s">
        <v>61</v>
      </c>
      <c r="E158" s="10">
        <v>-2.7</v>
      </c>
      <c r="F158" s="9">
        <f>F63</f>
        <v>0</v>
      </c>
      <c r="G158" s="9">
        <f t="shared" ref="G158:K158" si="51">G63</f>
        <v>0</v>
      </c>
      <c r="H158" s="9">
        <f t="shared" si="51"/>
        <v>0</v>
      </c>
      <c r="I158" s="9">
        <f t="shared" si="51"/>
        <v>0</v>
      </c>
      <c r="J158" s="9">
        <f t="shared" si="51"/>
        <v>0</v>
      </c>
      <c r="K158" s="9">
        <f t="shared" si="51"/>
        <v>0</v>
      </c>
      <c r="L158" s="17"/>
      <c r="M158" s="22" t="s">
        <v>213</v>
      </c>
    </row>
    <row r="159" spans="2:13" ht="17" customHeight="1" x14ac:dyDescent="0.2">
      <c r="C159" s="13" t="s">
        <v>14</v>
      </c>
      <c r="D159" s="73"/>
      <c r="E159"/>
      <c r="F159"/>
      <c r="G159"/>
      <c r="H159"/>
      <c r="I159"/>
      <c r="J159"/>
      <c r="K159"/>
      <c r="L159" s="17"/>
      <c r="M159" s="22"/>
    </row>
    <row r="160" spans="2:13" ht="17" customHeight="1" x14ac:dyDescent="0.2">
      <c r="C160" s="14" t="s">
        <v>168</v>
      </c>
      <c r="D160" s="74" t="s">
        <v>61</v>
      </c>
      <c r="E160" s="10">
        <v>-21.4</v>
      </c>
      <c r="F160" s="9">
        <f>E117-F117</f>
        <v>-18.771999999999991</v>
      </c>
      <c r="G160" s="9">
        <f t="shared" ref="G160:K161" si="52">F117-G117</f>
        <v>-22.119723999999962</v>
      </c>
      <c r="H160" s="9">
        <f t="shared" si="52"/>
        <v>-22.198436249999986</v>
      </c>
      <c r="I160" s="9">
        <f t="shared" si="52"/>
        <v>-21.777356040680047</v>
      </c>
      <c r="J160" s="9">
        <f t="shared" si="52"/>
        <v>-20.895934834264835</v>
      </c>
      <c r="K160" s="9">
        <f t="shared" si="52"/>
        <v>-19.391610628536966</v>
      </c>
      <c r="L160" s="17"/>
      <c r="M160" s="22"/>
    </row>
    <row r="161" spans="3:13" ht="17" customHeight="1" x14ac:dyDescent="0.2">
      <c r="C161" s="14" t="s">
        <v>169</v>
      </c>
      <c r="D161" s="74" t="s">
        <v>61</v>
      </c>
      <c r="E161" s="10">
        <v>-27.8</v>
      </c>
      <c r="F161" s="9">
        <f>E118-F118</f>
        <v>-16.073620000000005</v>
      </c>
      <c r="G161" s="9">
        <f t="shared" si="52"/>
        <v>-18.648450854999965</v>
      </c>
      <c r="H161" s="9">
        <f t="shared" si="52"/>
        <v>-18.858319057875008</v>
      </c>
      <c r="I161" s="9">
        <f t="shared" si="52"/>
        <v>-20.082847561764311</v>
      </c>
      <c r="J161" s="9">
        <f t="shared" si="52"/>
        <v>-19.5790973560579</v>
      </c>
      <c r="K161" s="9">
        <f t="shared" si="52"/>
        <v>-20.897011979962826</v>
      </c>
      <c r="L161" s="17"/>
      <c r="M161" s="22"/>
    </row>
    <row r="162" spans="3:13" ht="17" customHeight="1" x14ac:dyDescent="0.2">
      <c r="C162" s="14" t="s">
        <v>170</v>
      </c>
      <c r="D162" s="74" t="s">
        <v>61</v>
      </c>
      <c r="E162" s="10">
        <v>-5.6</v>
      </c>
      <c r="F162" s="9">
        <f>E122-F122</f>
        <v>-2.1891932639999965</v>
      </c>
      <c r="G162" s="9">
        <f t="shared" ref="G162:K162" si="53">F122-G122</f>
        <v>-4.4535002968800228</v>
      </c>
      <c r="H162" s="9">
        <f t="shared" si="53"/>
        <v>-4.3609221217368059</v>
      </c>
      <c r="I162" s="9">
        <f t="shared" si="53"/>
        <v>-4.2076416395704967</v>
      </c>
      <c r="J162" s="9">
        <f t="shared" si="53"/>
        <v>-4.0701923914887317</v>
      </c>
      <c r="K162" s="9">
        <f t="shared" si="53"/>
        <v>-3.7605178082011577</v>
      </c>
      <c r="L162" s="17"/>
      <c r="M162" s="22"/>
    </row>
    <row r="163" spans="3:13" ht="17" customHeight="1" x14ac:dyDescent="0.2">
      <c r="C163" s="14" t="s">
        <v>171</v>
      </c>
      <c r="D163" s="74" t="s">
        <v>61</v>
      </c>
      <c r="E163" s="10">
        <v>16.2</v>
      </c>
      <c r="F163" s="9">
        <f>F131-E131</f>
        <v>10.283500000000004</v>
      </c>
      <c r="G163" s="9">
        <f t="shared" ref="G163:K164" si="54">G131-F131</f>
        <v>11.808659062499999</v>
      </c>
      <c r="H163" s="9">
        <f t="shared" si="54"/>
        <v>12.119964832031258</v>
      </c>
      <c r="I163" s="9">
        <f t="shared" si="54"/>
        <v>11.804199230276879</v>
      </c>
      <c r="J163" s="9">
        <f t="shared" si="54"/>
        <v>11.635992489880493</v>
      </c>
      <c r="K163" s="9">
        <f t="shared" si="54"/>
        <v>11.162933749980141</v>
      </c>
      <c r="L163" s="17"/>
      <c r="M163" s="22"/>
    </row>
    <row r="164" spans="3:13" ht="17" customHeight="1" x14ac:dyDescent="0.2">
      <c r="C164" s="14" t="s">
        <v>172</v>
      </c>
      <c r="D164" s="74" t="s">
        <v>61</v>
      </c>
      <c r="E164" s="10">
        <v>9.1</v>
      </c>
      <c r="F164" s="9">
        <f>F132-E132</f>
        <v>3.222978972000007</v>
      </c>
      <c r="G164" s="9">
        <f t="shared" si="54"/>
        <v>6.5565421037400284</v>
      </c>
      <c r="H164" s="9">
        <f t="shared" si="54"/>
        <v>6.4202464570014115</v>
      </c>
      <c r="I164" s="9">
        <f t="shared" si="54"/>
        <v>6.1945835249232175</v>
      </c>
      <c r="J164" s="9">
        <f t="shared" si="54"/>
        <v>5.9922276874695228</v>
      </c>
      <c r="K164" s="9">
        <f t="shared" si="54"/>
        <v>5.5363178842961531</v>
      </c>
      <c r="L164" s="17"/>
      <c r="M164" s="22"/>
    </row>
    <row r="165" spans="3:13" ht="17" customHeight="1" x14ac:dyDescent="0.2">
      <c r="C165" s="14" t="s">
        <v>173</v>
      </c>
      <c r="D165" s="74" t="s">
        <v>61</v>
      </c>
      <c r="E165" s="10">
        <v>5.6</v>
      </c>
      <c r="F165" s="9">
        <f>F136-E136</f>
        <v>2.1891932639999965</v>
      </c>
      <c r="G165" s="9">
        <f t="shared" ref="G165:K165" si="55">G136-F136</f>
        <v>4.4535002968800228</v>
      </c>
      <c r="H165" s="9">
        <f t="shared" si="55"/>
        <v>4.3609221217368059</v>
      </c>
      <c r="I165" s="9">
        <f t="shared" si="55"/>
        <v>4.2076416395704967</v>
      </c>
      <c r="J165" s="9">
        <f t="shared" si="55"/>
        <v>4.0701923914887317</v>
      </c>
      <c r="K165" s="9">
        <f t="shared" si="55"/>
        <v>3.7605178082011577</v>
      </c>
      <c r="L165" s="17"/>
      <c r="M165" s="22"/>
    </row>
    <row r="166" spans="3:13" ht="17" customHeight="1" x14ac:dyDescent="0.2">
      <c r="C166" s="5" t="s">
        <v>174</v>
      </c>
      <c r="D166" s="74" t="s">
        <v>61</v>
      </c>
      <c r="E166" s="59">
        <f t="shared" ref="E166:K166" si="56">SUM(E160:E165)</f>
        <v>-23.900000000000006</v>
      </c>
      <c r="F166" s="59">
        <f t="shared" si="56"/>
        <v>-21.339141027999986</v>
      </c>
      <c r="G166" s="59">
        <f t="shared" si="56"/>
        <v>-22.4029736887599</v>
      </c>
      <c r="H166" s="59">
        <f t="shared" si="56"/>
        <v>-22.516544018842325</v>
      </c>
      <c r="I166" s="59">
        <f t="shared" si="56"/>
        <v>-23.861420847244261</v>
      </c>
      <c r="J166" s="59">
        <f t="shared" si="56"/>
        <v>-22.84681201297272</v>
      </c>
      <c r="K166" s="59">
        <f t="shared" si="56"/>
        <v>-23.589370974223499</v>
      </c>
      <c r="L166" s="17"/>
      <c r="M166" s="22"/>
    </row>
    <row r="167" spans="3:13" ht="17" customHeight="1" thickBot="1" x14ac:dyDescent="0.25">
      <c r="C167" s="5" t="s">
        <v>175</v>
      </c>
      <c r="D167" s="74" t="s">
        <v>61</v>
      </c>
      <c r="E167" s="11">
        <f t="shared" ref="E167:K167" si="57">SUM(E151:E158)+E166</f>
        <v>191.29291889000004</v>
      </c>
      <c r="F167" s="11">
        <f t="shared" si="57"/>
        <v>227.13125285994687</v>
      </c>
      <c r="G167" s="11">
        <f t="shared" si="57"/>
        <v>253.31961946597249</v>
      </c>
      <c r="H167" s="11">
        <f t="shared" si="57"/>
        <v>280.33652465069372</v>
      </c>
      <c r="I167" s="11">
        <f t="shared" si="57"/>
        <v>304.70925674197474</v>
      </c>
      <c r="J167" s="11">
        <f t="shared" si="57"/>
        <v>329.89982118754006</v>
      </c>
      <c r="K167" s="11">
        <f t="shared" si="57"/>
        <v>350.60492534623347</v>
      </c>
      <c r="L167" s="17"/>
      <c r="M167" s="22"/>
    </row>
    <row r="168" spans="3:13" ht="17" customHeight="1" thickTop="1" x14ac:dyDescent="0.2">
      <c r="D168" s="73"/>
      <c r="E168"/>
      <c r="F168"/>
      <c r="G168"/>
      <c r="H168"/>
      <c r="I168"/>
      <c r="J168"/>
      <c r="K168"/>
      <c r="L168" s="17"/>
      <c r="M168" s="22"/>
    </row>
    <row r="169" spans="3:13" ht="17" customHeight="1" x14ac:dyDescent="0.2">
      <c r="C169" s="14" t="s">
        <v>176</v>
      </c>
      <c r="D169" s="74" t="s">
        <v>61</v>
      </c>
      <c r="E169" s="10">
        <v>-54.285000000000004</v>
      </c>
      <c r="F169" s="9">
        <f>-F90*F65</f>
        <v>-56.878500000000003</v>
      </c>
      <c r="G169" s="9">
        <f t="shared" ref="G169:K169" si="58">-G90*G65</f>
        <v>-58.507502250000002</v>
      </c>
      <c r="H169" s="9">
        <f t="shared" si="58"/>
        <v>-60.001336875</v>
      </c>
      <c r="I169" s="9">
        <f t="shared" si="58"/>
        <v>-61.295108997817501</v>
      </c>
      <c r="J169" s="9">
        <f t="shared" si="58"/>
        <v>-62.335431390618105</v>
      </c>
      <c r="K169" s="9">
        <f t="shared" si="58"/>
        <v>-64.759382719185226</v>
      </c>
      <c r="L169" s="17"/>
      <c r="M169" s="22"/>
    </row>
    <row r="170" spans="3:13" ht="17" customHeight="1" x14ac:dyDescent="0.2">
      <c r="C170" s="14" t="s">
        <v>177</v>
      </c>
      <c r="D170" s="74" t="s">
        <v>61</v>
      </c>
      <c r="E170" s="10">
        <v>2</v>
      </c>
      <c r="F170" s="9">
        <f>F66</f>
        <v>2</v>
      </c>
      <c r="G170" s="9">
        <f t="shared" ref="G170:K171" si="59">G66</f>
        <v>2</v>
      </c>
      <c r="H170" s="9">
        <f t="shared" si="59"/>
        <v>2</v>
      </c>
      <c r="I170" s="9">
        <f t="shared" si="59"/>
        <v>2</v>
      </c>
      <c r="J170" s="9">
        <f t="shared" si="59"/>
        <v>2</v>
      </c>
      <c r="K170" s="9">
        <f t="shared" si="59"/>
        <v>2</v>
      </c>
      <c r="L170" s="17"/>
      <c r="M170" s="22"/>
    </row>
    <row r="171" spans="3:13" ht="17" customHeight="1" x14ac:dyDescent="0.2">
      <c r="C171" s="14" t="s">
        <v>178</v>
      </c>
      <c r="D171" s="74" t="s">
        <v>61</v>
      </c>
      <c r="E171" s="10">
        <v>-31.5</v>
      </c>
      <c r="F171" s="9">
        <f>F67</f>
        <v>0</v>
      </c>
      <c r="G171" s="9">
        <f t="shared" si="59"/>
        <v>0</v>
      </c>
      <c r="H171" s="9">
        <f t="shared" si="59"/>
        <v>0</v>
      </c>
      <c r="I171" s="9">
        <f t="shared" si="59"/>
        <v>0</v>
      </c>
      <c r="J171" s="9">
        <f t="shared" si="59"/>
        <v>0</v>
      </c>
      <c r="K171" s="9">
        <f t="shared" si="59"/>
        <v>0</v>
      </c>
      <c r="L171" s="17"/>
      <c r="M171" s="22"/>
    </row>
    <row r="172" spans="3:13" ht="17" customHeight="1" thickBot="1" x14ac:dyDescent="0.25">
      <c r="C172" s="5" t="s">
        <v>179</v>
      </c>
      <c r="D172" s="74" t="s">
        <v>61</v>
      </c>
      <c r="E172" s="11">
        <f t="shared" ref="E172:K172" si="60">SUM(E169:E171)</f>
        <v>-83.784999999999997</v>
      </c>
      <c r="F172" s="11">
        <f t="shared" si="60"/>
        <v>-54.878500000000003</v>
      </c>
      <c r="G172" s="11">
        <f t="shared" si="60"/>
        <v>-56.507502250000002</v>
      </c>
      <c r="H172" s="11">
        <f t="shared" si="60"/>
        <v>-58.001336875</v>
      </c>
      <c r="I172" s="11">
        <f t="shared" si="60"/>
        <v>-59.295108997817501</v>
      </c>
      <c r="J172" s="11">
        <f t="shared" si="60"/>
        <v>-60.335431390618105</v>
      </c>
      <c r="K172" s="11">
        <f t="shared" si="60"/>
        <v>-62.759382719185226</v>
      </c>
      <c r="L172" s="17"/>
      <c r="M172" s="22"/>
    </row>
    <row r="173" spans="3:13" ht="17" customHeight="1" thickTop="1" x14ac:dyDescent="0.2">
      <c r="D173" s="73"/>
      <c r="E173"/>
      <c r="F173"/>
      <c r="G173"/>
      <c r="H173"/>
      <c r="I173"/>
      <c r="J173"/>
      <c r="K173"/>
      <c r="L173" s="17"/>
      <c r="M173" s="22"/>
    </row>
    <row r="174" spans="3:13" ht="17" customHeight="1" x14ac:dyDescent="0.2">
      <c r="C174" s="14" t="s">
        <v>180</v>
      </c>
      <c r="D174" s="74" t="s">
        <v>61</v>
      </c>
      <c r="E174" s="10">
        <v>180</v>
      </c>
      <c r="F174" s="9">
        <f>F69</f>
        <v>0</v>
      </c>
      <c r="G174" s="9">
        <f t="shared" ref="G174:K174" si="61">G69</f>
        <v>0</v>
      </c>
      <c r="H174" s="9">
        <f t="shared" si="61"/>
        <v>0</v>
      </c>
      <c r="I174" s="9">
        <f t="shared" si="61"/>
        <v>0</v>
      </c>
      <c r="J174" s="9">
        <f t="shared" si="61"/>
        <v>0</v>
      </c>
      <c r="K174" s="9">
        <f t="shared" si="61"/>
        <v>0</v>
      </c>
      <c r="L174" s="17"/>
      <c r="M174" s="22"/>
    </row>
    <row r="175" spans="3:13" ht="17" customHeight="1" x14ac:dyDescent="0.2">
      <c r="C175" s="14" t="s">
        <v>181</v>
      </c>
      <c r="D175" s="74" t="s">
        <v>61</v>
      </c>
      <c r="E175" s="10">
        <v>-165</v>
      </c>
      <c r="F175" s="9">
        <f>-F70</f>
        <v>-40</v>
      </c>
      <c r="G175" s="9">
        <f t="shared" ref="G175:K178" si="62">-G70</f>
        <v>-45</v>
      </c>
      <c r="H175" s="9">
        <f t="shared" si="62"/>
        <v>-50</v>
      </c>
      <c r="I175" s="9">
        <f t="shared" si="62"/>
        <v>-55</v>
      </c>
      <c r="J175" s="9">
        <f t="shared" si="62"/>
        <v>-60</v>
      </c>
      <c r="K175" s="9">
        <f t="shared" si="62"/>
        <v>-65</v>
      </c>
      <c r="L175" s="17"/>
      <c r="M175" s="22"/>
    </row>
    <row r="176" spans="3:13" ht="17" customHeight="1" x14ac:dyDescent="0.2">
      <c r="C176" s="14" t="s">
        <v>182</v>
      </c>
      <c r="D176" s="74" t="s">
        <v>61</v>
      </c>
      <c r="E176" s="10">
        <v>-25</v>
      </c>
      <c r="F176" s="9">
        <f>-F71</f>
        <v>0</v>
      </c>
      <c r="G176" s="9">
        <f t="shared" si="62"/>
        <v>0</v>
      </c>
      <c r="H176" s="9">
        <f t="shared" si="62"/>
        <v>0</v>
      </c>
      <c r="I176" s="9">
        <f t="shared" si="62"/>
        <v>0</v>
      </c>
      <c r="J176" s="9">
        <f t="shared" si="62"/>
        <v>0</v>
      </c>
      <c r="K176" s="9">
        <f t="shared" si="62"/>
        <v>0</v>
      </c>
      <c r="L176" s="17"/>
      <c r="M176" s="22"/>
    </row>
    <row r="177" spans="2:13" ht="17" customHeight="1" x14ac:dyDescent="0.2">
      <c r="C177" s="14" t="s">
        <v>183</v>
      </c>
      <c r="D177" s="74" t="s">
        <v>61</v>
      </c>
      <c r="E177" s="10">
        <v>0</v>
      </c>
      <c r="F177" s="9">
        <f>-F72</f>
        <v>-30</v>
      </c>
      <c r="G177" s="9">
        <f t="shared" si="62"/>
        <v>-34</v>
      </c>
      <c r="H177" s="9">
        <f t="shared" si="62"/>
        <v>-38</v>
      </c>
      <c r="I177" s="9">
        <f t="shared" si="62"/>
        <v>-42</v>
      </c>
      <c r="J177" s="9">
        <f t="shared" si="62"/>
        <v>-46</v>
      </c>
      <c r="K177" s="9">
        <f t="shared" si="62"/>
        <v>-50</v>
      </c>
      <c r="L177" s="17"/>
      <c r="M177" s="22"/>
    </row>
    <row r="178" spans="2:13" ht="17" customHeight="1" x14ac:dyDescent="0.2">
      <c r="C178" s="14" t="s">
        <v>184</v>
      </c>
      <c r="D178" s="74" t="s">
        <v>61</v>
      </c>
      <c r="E178" s="10">
        <v>-3.4</v>
      </c>
      <c r="F178" s="9">
        <f>-F73</f>
        <v>0</v>
      </c>
      <c r="G178" s="9">
        <f t="shared" si="62"/>
        <v>0</v>
      </c>
      <c r="H178" s="9">
        <f t="shared" si="62"/>
        <v>0</v>
      </c>
      <c r="I178" s="9">
        <f t="shared" si="62"/>
        <v>0</v>
      </c>
      <c r="J178" s="9">
        <f t="shared" si="62"/>
        <v>0</v>
      </c>
      <c r="K178" s="9">
        <f t="shared" si="62"/>
        <v>0</v>
      </c>
      <c r="L178" s="17"/>
      <c r="M178" s="22"/>
    </row>
    <row r="179" spans="2:13" ht="17" customHeight="1" thickBot="1" x14ac:dyDescent="0.25">
      <c r="C179" s="5" t="s">
        <v>185</v>
      </c>
      <c r="D179" s="74" t="s">
        <v>61</v>
      </c>
      <c r="E179" s="11">
        <f t="shared" ref="E179:K179" si="63">SUM(E174:E178)</f>
        <v>-13.4</v>
      </c>
      <c r="F179" s="11">
        <f t="shared" si="63"/>
        <v>-70</v>
      </c>
      <c r="G179" s="11">
        <f t="shared" si="63"/>
        <v>-79</v>
      </c>
      <c r="H179" s="11">
        <f t="shared" si="63"/>
        <v>-88</v>
      </c>
      <c r="I179" s="11">
        <f t="shared" si="63"/>
        <v>-97</v>
      </c>
      <c r="J179" s="11">
        <f t="shared" si="63"/>
        <v>-106</v>
      </c>
      <c r="K179" s="11">
        <f t="shared" si="63"/>
        <v>-115</v>
      </c>
      <c r="L179" s="17"/>
      <c r="M179" s="22"/>
    </row>
    <row r="180" spans="2:13" ht="17" customHeight="1" thickTop="1" x14ac:dyDescent="0.2">
      <c r="D180" s="73"/>
      <c r="E180"/>
      <c r="F180"/>
      <c r="G180"/>
      <c r="H180"/>
      <c r="I180"/>
      <c r="J180"/>
      <c r="K180"/>
      <c r="L180" s="17"/>
      <c r="M180" s="22"/>
    </row>
    <row r="181" spans="2:13" ht="17" customHeight="1" x14ac:dyDescent="0.2">
      <c r="C181" s="5" t="s">
        <v>186</v>
      </c>
      <c r="D181" s="74" t="s">
        <v>61</v>
      </c>
      <c r="E181" s="7">
        <f t="shared" ref="E181:K181" si="64">E167+E172+E179</f>
        <v>94.107918890000036</v>
      </c>
      <c r="F181" s="7">
        <f t="shared" si="64"/>
        <v>102.25275285994687</v>
      </c>
      <c r="G181" s="7">
        <f t="shared" si="64"/>
        <v>117.81211721597248</v>
      </c>
      <c r="H181" s="7">
        <f t="shared" si="64"/>
        <v>134.33518777569373</v>
      </c>
      <c r="I181" s="7">
        <f t="shared" si="64"/>
        <v>148.41414774415725</v>
      </c>
      <c r="J181" s="7">
        <f t="shared" si="64"/>
        <v>163.56438979692194</v>
      </c>
      <c r="K181" s="7">
        <f t="shared" si="64"/>
        <v>172.84554262704825</v>
      </c>
      <c r="L181" s="17"/>
      <c r="M181" s="22"/>
    </row>
    <row r="182" spans="2:13" ht="17" customHeight="1" x14ac:dyDescent="0.2">
      <c r="D182" s="73"/>
      <c r="E182"/>
      <c r="F182"/>
      <c r="G182"/>
      <c r="H182"/>
      <c r="I182"/>
      <c r="J182"/>
      <c r="K182"/>
      <c r="L182" s="17"/>
      <c r="M182" s="22"/>
    </row>
    <row r="183" spans="2:13" ht="17" customHeight="1" x14ac:dyDescent="0.2">
      <c r="C183" s="8" t="s">
        <v>187</v>
      </c>
      <c r="D183" s="74" t="s">
        <v>61</v>
      </c>
      <c r="E183" s="10">
        <v>23.9</v>
      </c>
      <c r="F183" s="9">
        <f t="shared" ref="F183:K183" si="65">E184</f>
        <v>118.00791889000004</v>
      </c>
      <c r="G183" s="9">
        <f t="shared" si="65"/>
        <v>220.26067174994691</v>
      </c>
      <c r="H183" s="9">
        <f t="shared" si="65"/>
        <v>338.07278896591936</v>
      </c>
      <c r="I183" s="9">
        <f t="shared" si="65"/>
        <v>472.40797674161308</v>
      </c>
      <c r="J183" s="9">
        <f t="shared" si="65"/>
        <v>620.82212448577036</v>
      </c>
      <c r="K183" s="9">
        <f t="shared" si="65"/>
        <v>784.38651428269236</v>
      </c>
      <c r="L183" s="17"/>
      <c r="M183" s="22"/>
    </row>
    <row r="184" spans="2:13" ht="17" customHeight="1" thickBot="1" x14ac:dyDescent="0.25">
      <c r="C184" s="5" t="s">
        <v>188</v>
      </c>
      <c r="D184" s="74" t="s">
        <v>61</v>
      </c>
      <c r="E184" s="11">
        <f t="shared" ref="E184:K184" si="66">E183+E181</f>
        <v>118.00791889000004</v>
      </c>
      <c r="F184" s="11">
        <f t="shared" si="66"/>
        <v>220.26067174994691</v>
      </c>
      <c r="G184" s="11">
        <f t="shared" si="66"/>
        <v>338.07278896591936</v>
      </c>
      <c r="H184" s="11">
        <f t="shared" si="66"/>
        <v>472.40797674161308</v>
      </c>
      <c r="I184" s="11">
        <f t="shared" si="66"/>
        <v>620.82212448577036</v>
      </c>
      <c r="J184" s="11">
        <f t="shared" si="66"/>
        <v>784.38651428269236</v>
      </c>
      <c r="K184" s="11">
        <f t="shared" si="66"/>
        <v>957.23205690974055</v>
      </c>
      <c r="L184" s="17"/>
      <c r="M184" s="22"/>
    </row>
    <row r="185" spans="2:13" ht="17" customHeight="1" thickTop="1" x14ac:dyDescent="0.2">
      <c r="D185" s="73"/>
      <c r="E185"/>
      <c r="F185"/>
      <c r="G185"/>
      <c r="H185"/>
      <c r="I185"/>
      <c r="J185"/>
      <c r="K185"/>
      <c r="L185" s="17"/>
      <c r="M185" s="22"/>
    </row>
    <row r="186" spans="2:13" ht="17" customHeight="1" x14ac:dyDescent="0.2">
      <c r="B186" s="65" t="s">
        <v>189</v>
      </c>
      <c r="C186" s="65"/>
      <c r="D186" s="75"/>
      <c r="E186" s="35"/>
      <c r="F186" s="40"/>
      <c r="G186" s="32" t="s">
        <v>12</v>
      </c>
      <c r="H186" s="32"/>
      <c r="I186" s="32"/>
      <c r="J186" s="32"/>
      <c r="K186" s="32"/>
      <c r="L186" s="17"/>
      <c r="M186" s="22"/>
    </row>
    <row r="187" spans="2:13" ht="17" customHeight="1" x14ac:dyDescent="0.2">
      <c r="B187" s="65"/>
      <c r="C187" s="66"/>
      <c r="D187" s="75"/>
      <c r="E187" s="33">
        <f>Merger_Model!$E$89</f>
        <v>45657</v>
      </c>
      <c r="F187" s="39">
        <f>Merger_Model!$F$89</f>
        <v>46022</v>
      </c>
      <c r="G187" s="39">
        <f>Merger_Model!$G$89</f>
        <v>46387</v>
      </c>
      <c r="H187" s="39">
        <f>Merger_Model!$H$89</f>
        <v>46752</v>
      </c>
      <c r="I187" s="39">
        <f>Merger_Model!$I$89</f>
        <v>47118</v>
      </c>
      <c r="J187" s="39">
        <f>Merger_Model!$J$89</f>
        <v>47483</v>
      </c>
      <c r="K187" s="39">
        <f>Merger_Model!$K$89</f>
        <v>47848</v>
      </c>
      <c r="L187" s="17"/>
      <c r="M187" s="22"/>
    </row>
    <row r="188" spans="2:13" ht="17" customHeight="1" x14ac:dyDescent="0.2">
      <c r="C188" s="8" t="s">
        <v>85</v>
      </c>
      <c r="D188" s="74" t="s">
        <v>61</v>
      </c>
      <c r="E188" s="9">
        <f t="shared" ref="E188:K188" si="67">E102</f>
        <v>224.05690000000004</v>
      </c>
      <c r="F188" s="9">
        <f t="shared" si="67"/>
        <v>258.94676520000007</v>
      </c>
      <c r="G188" s="9">
        <f t="shared" si="67"/>
        <v>285.38784518399996</v>
      </c>
      <c r="H188" s="9">
        <f t="shared" si="67"/>
        <v>310.68862390073969</v>
      </c>
      <c r="I188" s="9">
        <f t="shared" si="67"/>
        <v>334.02830156871073</v>
      </c>
      <c r="J188" s="9">
        <f t="shared" si="67"/>
        <v>353.8849951482631</v>
      </c>
      <c r="K188" s="9">
        <f t="shared" si="67"/>
        <v>369.29423415134409</v>
      </c>
      <c r="L188" s="17"/>
      <c r="M188" s="22"/>
    </row>
    <row r="189" spans="2:13" ht="17" customHeight="1" x14ac:dyDescent="0.2">
      <c r="C189" s="14" t="s">
        <v>161</v>
      </c>
      <c r="D189" s="74" t="s">
        <v>61</v>
      </c>
      <c r="E189" s="9">
        <f t="shared" ref="E189:K190" si="68">E152</f>
        <v>40.067500000000003</v>
      </c>
      <c r="F189" s="9">
        <f t="shared" si="68"/>
        <v>42.252600000000001</v>
      </c>
      <c r="G189" s="9">
        <f t="shared" si="68"/>
        <v>44.808184649999994</v>
      </c>
      <c r="H189" s="9">
        <f t="shared" si="68"/>
        <v>47.101049446874995</v>
      </c>
      <c r="I189" s="9">
        <f t="shared" si="68"/>
        <v>49.036087198254002</v>
      </c>
      <c r="J189" s="9">
        <f t="shared" si="68"/>
        <v>50.852588766030564</v>
      </c>
      <c r="K189" s="9">
        <f t="shared" si="68"/>
        <v>52.830022744598473</v>
      </c>
      <c r="L189" s="17"/>
      <c r="M189" s="22"/>
    </row>
    <row r="190" spans="2:13" ht="17" customHeight="1" x14ac:dyDescent="0.2">
      <c r="C190" s="14" t="s">
        <v>162</v>
      </c>
      <c r="D190" s="74" t="s">
        <v>61</v>
      </c>
      <c r="E190" s="9">
        <f t="shared" si="68"/>
        <v>16.027000000000001</v>
      </c>
      <c r="F190" s="9">
        <f t="shared" si="68"/>
        <v>16.521850000000001</v>
      </c>
      <c r="G190" s="9">
        <f t="shared" si="68"/>
        <v>16.838744550000001</v>
      </c>
      <c r="H190" s="9">
        <f t="shared" si="68"/>
        <v>17.100381009374999</v>
      </c>
      <c r="I190" s="9">
        <f t="shared" si="68"/>
        <v>17.288364076307499</v>
      </c>
      <c r="J190" s="9">
        <f t="shared" si="68"/>
        <v>17.388304545803997</v>
      </c>
      <c r="K190" s="9">
        <f t="shared" si="68"/>
        <v>17.382781677254982</v>
      </c>
      <c r="L190" s="17"/>
      <c r="M190" s="22"/>
    </row>
    <row r="191" spans="2:13" ht="17" customHeight="1" x14ac:dyDescent="0.2">
      <c r="C191" s="14" t="s">
        <v>164</v>
      </c>
      <c r="D191" s="74" t="s">
        <v>61</v>
      </c>
      <c r="E191" s="9">
        <f t="shared" ref="E191:K191" si="69">E155</f>
        <v>2.5</v>
      </c>
      <c r="F191" s="9">
        <f t="shared" si="69"/>
        <v>0</v>
      </c>
      <c r="G191" s="9">
        <f t="shared" si="69"/>
        <v>0</v>
      </c>
      <c r="H191" s="9">
        <f t="shared" si="69"/>
        <v>0</v>
      </c>
      <c r="I191" s="9">
        <f t="shared" si="69"/>
        <v>0</v>
      </c>
      <c r="J191" s="9">
        <f t="shared" si="69"/>
        <v>0</v>
      </c>
      <c r="K191" s="9">
        <f t="shared" si="69"/>
        <v>0</v>
      </c>
      <c r="L191" s="17"/>
      <c r="M191" s="22"/>
    </row>
    <row r="192" spans="2:13" ht="17" customHeight="1" thickBot="1" x14ac:dyDescent="0.25">
      <c r="C192" s="5" t="s">
        <v>17</v>
      </c>
      <c r="D192" s="74" t="s">
        <v>61</v>
      </c>
      <c r="E192" s="11">
        <f t="shared" ref="E192:K192" si="70">SUM(E188:E191)</f>
        <v>282.65140000000002</v>
      </c>
      <c r="F192" s="11">
        <f t="shared" si="70"/>
        <v>317.72121520000007</v>
      </c>
      <c r="G192" s="11">
        <f t="shared" si="70"/>
        <v>347.03477438399995</v>
      </c>
      <c r="H192" s="11">
        <f t="shared" si="70"/>
        <v>374.89005435698965</v>
      </c>
      <c r="I192" s="11">
        <f t="shared" si="70"/>
        <v>400.35275284327224</v>
      </c>
      <c r="J192" s="11">
        <f t="shared" si="70"/>
        <v>422.12588846009766</v>
      </c>
      <c r="K192" s="11">
        <f t="shared" si="70"/>
        <v>439.50703857319752</v>
      </c>
      <c r="L192" s="17"/>
      <c r="M192" s="22"/>
    </row>
    <row r="193" spans="3:13" ht="17" customHeight="1" thickTop="1" x14ac:dyDescent="0.2">
      <c r="D193" s="73"/>
      <c r="E193"/>
      <c r="F193"/>
      <c r="G193"/>
      <c r="H193"/>
      <c r="I193"/>
      <c r="J193"/>
      <c r="K193"/>
      <c r="L193" s="17"/>
      <c r="M193" s="22"/>
    </row>
    <row r="194" spans="3:13" ht="17" customHeight="1" x14ac:dyDescent="0.2">
      <c r="C194" s="8" t="s">
        <v>190</v>
      </c>
      <c r="D194" s="74" t="s">
        <v>4</v>
      </c>
      <c r="E194" s="68" t="str">
        <f>IFERROR(E90/D90-1, "n/a")</f>
        <v>n/a</v>
      </c>
      <c r="F194" s="68">
        <f t="shared" ref="F194:K194" si="71">IFERROR(F90/E90-1, "n/a")</f>
        <v>4.7775628626692379E-2</v>
      </c>
      <c r="G194" s="68">
        <f t="shared" si="71"/>
        <v>5.3728816688203729E-2</v>
      </c>
      <c r="H194" s="68">
        <f t="shared" si="71"/>
        <v>5.1170669260197199E-2</v>
      </c>
      <c r="I194" s="68">
        <f t="shared" si="71"/>
        <v>4.7756295668370585E-2</v>
      </c>
      <c r="J194" s="68">
        <f t="shared" si="71"/>
        <v>4.3734786116831126E-2</v>
      </c>
      <c r="K194" s="68">
        <f t="shared" si="71"/>
        <v>3.8885610871571386E-2</v>
      </c>
      <c r="L194" s="17"/>
      <c r="M194" s="22"/>
    </row>
    <row r="195" spans="3:13" ht="17" customHeight="1" x14ac:dyDescent="0.2">
      <c r="C195" s="8" t="s">
        <v>191</v>
      </c>
      <c r="D195" s="74" t="s">
        <v>4</v>
      </c>
      <c r="E195" s="61">
        <f>IFERROR(E92/E90, "n/a")</f>
        <v>0.29000000000000004</v>
      </c>
      <c r="F195" s="61">
        <f t="shared" ref="F195:K195" si="72">IFERROR(F92/F90, "n/a")</f>
        <v>0.29200000000000004</v>
      </c>
      <c r="G195" s="61">
        <f t="shared" si="72"/>
        <v>0.29500000000000004</v>
      </c>
      <c r="H195" s="61">
        <f t="shared" si="72"/>
        <v>0.29699999999999999</v>
      </c>
      <c r="I195" s="61">
        <f t="shared" si="72"/>
        <v>0.29900000000000004</v>
      </c>
      <c r="J195" s="61">
        <f t="shared" si="72"/>
        <v>0.3000000000000001</v>
      </c>
      <c r="K195" s="61">
        <f t="shared" si="72"/>
        <v>0.3000000000000001</v>
      </c>
      <c r="L195" s="17"/>
      <c r="M195" s="22"/>
    </row>
    <row r="196" spans="3:13" ht="17" customHeight="1" x14ac:dyDescent="0.2">
      <c r="C196" s="8" t="s">
        <v>22</v>
      </c>
      <c r="D196" s="74" t="s">
        <v>4</v>
      </c>
      <c r="E196" s="61">
        <f>IFERROR(E192/E90, "n/a")</f>
        <v>0.1093429013539652</v>
      </c>
      <c r="F196" s="61">
        <f t="shared" ref="F196:K196" si="73">F192/F90</f>
        <v>0.11730522990585197</v>
      </c>
      <c r="G196" s="61">
        <f t="shared" si="73"/>
        <v>0.12159488272928279</v>
      </c>
      <c r="H196" s="61">
        <f t="shared" si="73"/>
        <v>0.12496056717469253</v>
      </c>
      <c r="I196" s="61">
        <f t="shared" si="73"/>
        <v>0.12736544249756998</v>
      </c>
      <c r="J196" s="61">
        <f t="shared" si="73"/>
        <v>0.12866505776599113</v>
      </c>
      <c r="K196" s="61">
        <f t="shared" si="73"/>
        <v>0.12894863079689059</v>
      </c>
      <c r="L196" s="17"/>
      <c r="M196" s="22"/>
    </row>
    <row r="197" spans="3:13" ht="17" customHeight="1" x14ac:dyDescent="0.2">
      <c r="C197" s="8" t="s">
        <v>192</v>
      </c>
      <c r="D197" s="74" t="s">
        <v>4</v>
      </c>
      <c r="E197" s="61">
        <f t="shared" ref="E197:K197" si="74">E102/E90</f>
        <v>8.6675783365570622E-2</v>
      </c>
      <c r="F197" s="61">
        <f t="shared" si="74"/>
        <v>9.5605229905851977E-2</v>
      </c>
      <c r="G197" s="61">
        <f t="shared" si="74"/>
        <v>9.9994882729282794E-2</v>
      </c>
      <c r="H197" s="61">
        <f t="shared" si="74"/>
        <v>0.10356056717469254</v>
      </c>
      <c r="I197" s="61">
        <f t="shared" si="74"/>
        <v>0.10626544249756996</v>
      </c>
      <c r="J197" s="61">
        <f t="shared" si="74"/>
        <v>0.10786505776599113</v>
      </c>
      <c r="K197" s="61">
        <f t="shared" si="74"/>
        <v>0.10834863079689061</v>
      </c>
      <c r="L197" s="17"/>
      <c r="M197" s="22"/>
    </row>
    <row r="198" spans="3:13" ht="17" customHeight="1" x14ac:dyDescent="0.2">
      <c r="C198" s="8" t="s">
        <v>193</v>
      </c>
      <c r="D198" s="74" t="s">
        <v>4</v>
      </c>
      <c r="E198" s="61">
        <f>IFERROR(E108/E90, "n/a")</f>
        <v>5.6267112475822063E-2</v>
      </c>
      <c r="F198" s="61">
        <f t="shared" ref="F198:K198" si="75">F108/F90</f>
        <v>6.4534288391238065E-2</v>
      </c>
      <c r="G198" s="61">
        <f t="shared" si="75"/>
        <v>6.988702229602875E-2</v>
      </c>
      <c r="H198" s="61">
        <f t="shared" si="75"/>
        <v>7.4637774516580851E-2</v>
      </c>
      <c r="I198" s="61">
        <f t="shared" si="75"/>
        <v>7.87614713326064E-2</v>
      </c>
      <c r="J198" s="61">
        <f t="shared" si="75"/>
        <v>8.2056731522000423E-2</v>
      </c>
      <c r="K198" s="61">
        <f t="shared" si="75"/>
        <v>8.4536905783965319E-2</v>
      </c>
      <c r="L198" s="17"/>
      <c r="M198" s="22"/>
    </row>
    <row r="199" spans="3:13" ht="17" customHeight="1" x14ac:dyDescent="0.2">
      <c r="D199" s="73"/>
      <c r="E199"/>
      <c r="F199"/>
      <c r="G199"/>
      <c r="H199"/>
      <c r="I199"/>
      <c r="J199"/>
      <c r="K199"/>
      <c r="L199" s="17"/>
      <c r="M199" s="22"/>
    </row>
    <row r="200" spans="3:13" ht="17" customHeight="1" x14ac:dyDescent="0.2">
      <c r="C200" s="8" t="s">
        <v>35</v>
      </c>
      <c r="D200" s="74" t="s">
        <v>4</v>
      </c>
      <c r="E200" s="61">
        <f t="shared" ref="E200:K200" si="76">IFERROR(-E107/E106,0)</f>
        <v>0.245</v>
      </c>
      <c r="F200" s="61">
        <f t="shared" si="76"/>
        <v>0.245</v>
      </c>
      <c r="G200" s="61">
        <f t="shared" si="76"/>
        <v>0.245</v>
      </c>
      <c r="H200" s="61">
        <f t="shared" si="76"/>
        <v>0.245</v>
      </c>
      <c r="I200" s="61">
        <f t="shared" si="76"/>
        <v>0.245</v>
      </c>
      <c r="J200" s="61">
        <f t="shared" si="76"/>
        <v>0.245</v>
      </c>
      <c r="K200" s="61">
        <f t="shared" si="76"/>
        <v>0.245</v>
      </c>
      <c r="L200" s="17"/>
      <c r="M200" s="22"/>
    </row>
    <row r="201" spans="3:13" ht="17" customHeight="1" x14ac:dyDescent="0.2">
      <c r="C201" s="8" t="s">
        <v>106</v>
      </c>
      <c r="D201" s="74" t="s">
        <v>4</v>
      </c>
      <c r="E201" s="62">
        <f t="shared" ref="E201:K201" si="77">E189/E90</f>
        <v>1.5500000000000002E-2</v>
      </c>
      <c r="F201" s="62">
        <f t="shared" si="77"/>
        <v>1.5600000000000001E-2</v>
      </c>
      <c r="G201" s="62">
        <f t="shared" si="77"/>
        <v>1.5699999999999999E-2</v>
      </c>
      <c r="H201" s="62">
        <f t="shared" si="77"/>
        <v>1.5699999999999999E-2</v>
      </c>
      <c r="I201" s="62">
        <f t="shared" si="77"/>
        <v>1.5599999999999999E-2</v>
      </c>
      <c r="J201" s="62">
        <f t="shared" si="77"/>
        <v>1.55E-2</v>
      </c>
      <c r="K201" s="62">
        <f t="shared" si="77"/>
        <v>1.55E-2</v>
      </c>
      <c r="L201" s="17"/>
      <c r="M201" s="22"/>
    </row>
    <row r="202" spans="3:13" ht="17" customHeight="1" x14ac:dyDescent="0.2">
      <c r="C202" s="8" t="s">
        <v>118</v>
      </c>
      <c r="D202" s="74" t="s">
        <v>4</v>
      </c>
      <c r="E202" s="62">
        <f t="shared" ref="E202:K202" si="78">-E169/E90</f>
        <v>2.1000000000000001E-2</v>
      </c>
      <c r="F202" s="62">
        <f t="shared" si="78"/>
        <v>2.1000000000000001E-2</v>
      </c>
      <c r="G202" s="62">
        <f t="shared" si="78"/>
        <v>2.0500000000000001E-2</v>
      </c>
      <c r="H202" s="62">
        <f t="shared" si="78"/>
        <v>0.02</v>
      </c>
      <c r="I202" s="62">
        <f t="shared" si="78"/>
        <v>1.95E-2</v>
      </c>
      <c r="J202" s="62">
        <f t="shared" si="78"/>
        <v>1.9E-2</v>
      </c>
      <c r="K202" s="62">
        <f t="shared" si="78"/>
        <v>1.9E-2</v>
      </c>
      <c r="L202" s="17"/>
      <c r="M202" s="22"/>
    </row>
    <row r="203" spans="3:13" ht="17" customHeight="1" x14ac:dyDescent="0.2">
      <c r="D203" s="73"/>
      <c r="E203"/>
      <c r="F203"/>
      <c r="G203"/>
      <c r="H203"/>
      <c r="I203"/>
      <c r="J203"/>
      <c r="K203"/>
      <c r="L203" s="17"/>
      <c r="M203" s="22"/>
    </row>
    <row r="204" spans="3:13" ht="17" customHeight="1" x14ac:dyDescent="0.2">
      <c r="C204" s="8" t="s">
        <v>194</v>
      </c>
      <c r="D204" s="74" t="s">
        <v>2</v>
      </c>
      <c r="E204" s="63">
        <f t="shared" ref="E204:K204" si="79">E135/E192</f>
        <v>1.9281701771156978</v>
      </c>
      <c r="F204" s="63">
        <f t="shared" si="79"/>
        <v>1.5947943535373961</v>
      </c>
      <c r="G204" s="63">
        <f t="shared" si="79"/>
        <v>1.3350247127895909</v>
      </c>
      <c r="H204" s="63">
        <f t="shared" si="79"/>
        <v>1.1064577338853756</v>
      </c>
      <c r="I204" s="63">
        <f t="shared" si="79"/>
        <v>0.90220436211512811</v>
      </c>
      <c r="J204" s="63">
        <f t="shared" si="79"/>
        <v>0.71661086957616071</v>
      </c>
      <c r="K204" s="63">
        <f t="shared" si="79"/>
        <v>0.54310848075359275</v>
      </c>
      <c r="L204" s="17"/>
      <c r="M204" s="22"/>
    </row>
    <row r="205" spans="3:13" ht="17" customHeight="1" x14ac:dyDescent="0.2">
      <c r="C205" s="8" t="s">
        <v>195</v>
      </c>
      <c r="D205" s="74" t="s">
        <v>2</v>
      </c>
      <c r="E205" s="63">
        <f t="shared" ref="E205:K205" si="80">(E135-E116)/E192</f>
        <v>1.5106667828639799</v>
      </c>
      <c r="F205" s="63">
        <f t="shared" si="80"/>
        <v>0.90154297083921342</v>
      </c>
      <c r="G205" s="63">
        <f t="shared" si="80"/>
        <v>0.36084917212219947</v>
      </c>
      <c r="H205" s="63">
        <f t="shared" si="80"/>
        <v>-0.15366632449191567</v>
      </c>
      <c r="I205" s="63">
        <f t="shared" si="80"/>
        <v>-0.6484834252842161</v>
      </c>
      <c r="J205" s="63">
        <f t="shared" si="80"/>
        <v>-1.1415706249161823</v>
      </c>
      <c r="K205" s="63">
        <f t="shared" si="80"/>
        <v>-1.6348590439924726</v>
      </c>
      <c r="L205" s="17"/>
      <c r="M205" s="22"/>
    </row>
    <row r="206" spans="3:13" ht="17" customHeight="1" x14ac:dyDescent="0.2">
      <c r="C206" s="8" t="s">
        <v>196</v>
      </c>
      <c r="D206" s="74" t="s">
        <v>2</v>
      </c>
      <c r="E206" s="63">
        <f t="shared" ref="E206:K206" si="81">IFERROR(E192/-E103,0)</f>
        <v>7.9746471521777487</v>
      </c>
      <c r="F206" s="63">
        <f t="shared" si="81"/>
        <v>9.191826133622639</v>
      </c>
      <c r="G206" s="63">
        <f t="shared" si="81"/>
        <v>10.874571856921268</v>
      </c>
      <c r="H206" s="63">
        <f t="shared" si="81"/>
        <v>12.953764970763059</v>
      </c>
      <c r="I206" s="63">
        <f t="shared" si="81"/>
        <v>15.608294457827379</v>
      </c>
      <c r="J206" s="63">
        <f t="shared" si="81"/>
        <v>19.152174153868032</v>
      </c>
      <c r="K206" s="63">
        <f t="shared" si="81"/>
        <v>24.26539895504196</v>
      </c>
      <c r="L206" s="17"/>
      <c r="M206" s="22"/>
    </row>
    <row r="207" spans="3:13" ht="17" customHeight="1" x14ac:dyDescent="0.2">
      <c r="C207" s="5" t="s">
        <v>197</v>
      </c>
      <c r="D207" s="74" t="s">
        <v>61</v>
      </c>
      <c r="E207" s="7">
        <f t="shared" ref="E207:K207" si="82">E102*(1-$E$10)+E189+E190+E157+E166+E169+E170</f>
        <v>152.84839264000004</v>
      </c>
      <c r="F207" s="7">
        <f t="shared" si="82"/>
        <v>182.59924047827863</v>
      </c>
      <c r="G207" s="7">
        <f t="shared" si="82"/>
        <v>202.08778806498015</v>
      </c>
      <c r="H207" s="7">
        <f t="shared" si="82"/>
        <v>221.88657230226931</v>
      </c>
      <c r="I207" s="7">
        <f t="shared" si="82"/>
        <v>238.57283240527212</v>
      </c>
      <c r="J207" s="7">
        <f t="shared" si="82"/>
        <v>255.73623806133395</v>
      </c>
      <c r="K207" s="7">
        <f t="shared" si="82"/>
        <v>266.42122308179165</v>
      </c>
      <c r="L207" s="17"/>
      <c r="M207" s="22"/>
    </row>
    <row r="208" spans="3:13" x14ac:dyDescent="0.2">
      <c r="E208"/>
      <c r="F208"/>
      <c r="G208"/>
      <c r="H208"/>
      <c r="I208"/>
      <c r="J208"/>
      <c r="K208"/>
      <c r="L208" s="17"/>
      <c r="M208" s="22"/>
    </row>
    <row r="209" spans="2:13" x14ac:dyDescent="0.2">
      <c r="E209"/>
      <c r="F209"/>
      <c r="G209"/>
      <c r="H209"/>
      <c r="I209"/>
      <c r="J209"/>
      <c r="K209"/>
      <c r="L209" s="17"/>
      <c r="M209" s="22"/>
    </row>
    <row r="210" spans="2:13" x14ac:dyDescent="0.2">
      <c r="E210"/>
      <c r="F210"/>
      <c r="G210"/>
      <c r="H210"/>
      <c r="I210"/>
      <c r="J210"/>
      <c r="K210"/>
      <c r="L210" s="17"/>
      <c r="M210" s="22"/>
    </row>
    <row r="211" spans="2:13" x14ac:dyDescent="0.2">
      <c r="B211" s="17"/>
      <c r="C211" s="17"/>
      <c r="D211" s="17"/>
      <c r="E211" s="43"/>
      <c r="F211" s="46"/>
      <c r="G211" s="46"/>
      <c r="H211" s="46"/>
      <c r="I211" s="46"/>
      <c r="J211" s="46"/>
      <c r="K211" s="46"/>
      <c r="L211" s="17"/>
      <c r="M211" s="22"/>
    </row>
    <row r="212" spans="2:13" x14ac:dyDescent="0.2">
      <c r="B212" s="17"/>
      <c r="C212" s="37"/>
      <c r="D212" s="34"/>
      <c r="E212" s="42"/>
      <c r="F212" s="46"/>
      <c r="G212" s="46"/>
      <c r="H212" s="46"/>
      <c r="I212" s="46"/>
      <c r="J212" s="46"/>
      <c r="K212" s="46"/>
      <c r="L212" s="17"/>
      <c r="M212" s="24"/>
    </row>
    <row r="213" spans="2:13" x14ac:dyDescent="0.2">
      <c r="B213" s="17"/>
      <c r="C213" s="37"/>
      <c r="D213" s="34"/>
      <c r="E213" s="42"/>
      <c r="F213" s="47"/>
      <c r="G213" s="47"/>
      <c r="H213" s="47"/>
      <c r="I213" s="47"/>
      <c r="J213" s="47"/>
      <c r="K213" s="47"/>
      <c r="L213" s="17"/>
      <c r="M213" s="24"/>
    </row>
  </sheetData>
  <pageMargins left="0.7" right="0.7" top="0.75" bottom="0.75" header="0.3" footer="0.3"/>
  <ignoredErrors>
    <ignoredError sqref="F154:K15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C995-ACC6-A845-B1C1-5C99ADE3A46F}">
  <dimension ref="B2:U59"/>
  <sheetViews>
    <sheetView showGridLines="0" topLeftCell="A2" workbookViewId="0">
      <selection activeCell="G18" sqref="G18"/>
    </sheetView>
  </sheetViews>
  <sheetFormatPr baseColWidth="10" defaultRowHeight="16" x14ac:dyDescent="0.2"/>
  <cols>
    <col min="1" max="2" width="2.83203125" customWidth="1"/>
    <col min="3" max="3" width="48.6640625" customWidth="1"/>
  </cols>
  <sheetData>
    <row r="2" spans="2:21" ht="19" x14ac:dyDescent="0.2">
      <c r="B2" s="91" t="s">
        <v>512</v>
      </c>
      <c r="C2" s="15"/>
      <c r="D2" s="15"/>
      <c r="E2" s="15"/>
      <c r="F2" s="15"/>
      <c r="G2" s="15"/>
      <c r="H2" s="15"/>
      <c r="I2" s="15"/>
      <c r="J2" s="15"/>
      <c r="K2" s="15"/>
      <c r="L2" s="15"/>
      <c r="M2" s="15"/>
      <c r="N2" s="15"/>
      <c r="O2" s="15"/>
      <c r="P2" s="15"/>
      <c r="Q2" s="15"/>
      <c r="R2" s="15"/>
      <c r="S2" s="15"/>
      <c r="T2" s="15"/>
      <c r="U2" s="15"/>
    </row>
    <row r="3" spans="2:21" x14ac:dyDescent="0.2">
      <c r="B3" s="22" t="s">
        <v>222</v>
      </c>
      <c r="C3" s="15"/>
      <c r="D3" s="15"/>
      <c r="E3" s="15"/>
      <c r="F3" s="15"/>
      <c r="G3" s="15"/>
      <c r="H3" s="15"/>
      <c r="I3" s="15"/>
      <c r="J3" s="15"/>
      <c r="K3" s="15"/>
      <c r="L3" s="15"/>
      <c r="M3" s="15"/>
      <c r="N3" s="15"/>
      <c r="O3" s="15"/>
      <c r="P3" s="15"/>
      <c r="Q3" s="15"/>
      <c r="R3" s="15"/>
      <c r="S3" s="15"/>
      <c r="T3" s="15"/>
      <c r="U3" s="15"/>
    </row>
    <row r="4" spans="2:21" x14ac:dyDescent="0.2">
      <c r="B4" s="22" t="s">
        <v>462</v>
      </c>
      <c r="C4" s="15"/>
      <c r="D4" s="15"/>
      <c r="E4" s="15"/>
      <c r="F4" s="15"/>
      <c r="G4" s="15"/>
      <c r="H4" s="15"/>
      <c r="I4" s="15"/>
      <c r="J4" s="15"/>
      <c r="K4" s="15"/>
      <c r="L4" s="15"/>
      <c r="M4" s="15"/>
      <c r="N4" s="15"/>
      <c r="O4" s="15"/>
      <c r="P4" s="15"/>
      <c r="Q4" s="15"/>
      <c r="R4" s="15"/>
      <c r="S4" s="15"/>
      <c r="T4" s="15"/>
      <c r="U4" s="15"/>
    </row>
    <row r="5" spans="2:21" x14ac:dyDescent="0.2">
      <c r="B5" s="19" t="s">
        <v>463</v>
      </c>
      <c r="C5" s="19"/>
      <c r="D5" s="19"/>
      <c r="E5" s="19"/>
      <c r="F5" s="19"/>
      <c r="G5" s="19"/>
      <c r="H5" s="19"/>
      <c r="I5" s="19"/>
      <c r="J5" s="19"/>
      <c r="K5" s="19"/>
      <c r="L5" s="19"/>
      <c r="M5" s="22" t="s">
        <v>464</v>
      </c>
      <c r="N5" s="15"/>
      <c r="O5" s="15"/>
      <c r="P5" s="15"/>
      <c r="Q5" s="15"/>
      <c r="R5" s="15"/>
      <c r="S5" s="15"/>
      <c r="T5" s="15"/>
      <c r="U5" s="15"/>
    </row>
    <row r="6" spans="2:21" x14ac:dyDescent="0.2">
      <c r="B6" s="15"/>
      <c r="C6" s="15"/>
      <c r="D6" s="22" t="s">
        <v>134</v>
      </c>
      <c r="E6" s="15"/>
      <c r="F6" s="15"/>
      <c r="G6" s="143">
        <f>Merger_Model!$G$89</f>
        <v>46387</v>
      </c>
      <c r="H6" s="143">
        <f>Merger_Model!$H$89</f>
        <v>46752</v>
      </c>
      <c r="I6" s="143">
        <f>Merger_Model!$I$89</f>
        <v>47118</v>
      </c>
      <c r="J6" s="143">
        <f>Merger_Model!$J$89</f>
        <v>47483</v>
      </c>
      <c r="K6" s="143">
        <f>Merger_Model!$K$89</f>
        <v>47848</v>
      </c>
      <c r="L6" s="15"/>
      <c r="M6" s="22"/>
      <c r="N6" s="15"/>
      <c r="O6" s="15"/>
      <c r="P6" s="15"/>
      <c r="Q6" s="15"/>
      <c r="R6" s="15"/>
      <c r="S6" s="15"/>
      <c r="T6" s="15"/>
      <c r="U6" s="15"/>
    </row>
    <row r="7" spans="2:21" x14ac:dyDescent="0.2">
      <c r="B7" s="15"/>
      <c r="C7" s="15"/>
      <c r="D7" s="22"/>
      <c r="E7" s="15"/>
      <c r="F7" s="15"/>
      <c r="G7" s="15"/>
      <c r="H7" s="15"/>
      <c r="I7" s="15"/>
      <c r="J7" s="15"/>
      <c r="K7" s="15"/>
      <c r="L7" s="15"/>
      <c r="M7" s="22"/>
      <c r="N7" s="15"/>
      <c r="O7" s="15"/>
      <c r="P7" s="15"/>
      <c r="Q7" s="15"/>
      <c r="R7" s="15"/>
      <c r="S7" s="15"/>
      <c r="T7" s="15"/>
      <c r="U7" s="15"/>
    </row>
    <row r="8" spans="2:21" x14ac:dyDescent="0.2">
      <c r="B8" s="15"/>
      <c r="C8" s="8" t="s">
        <v>509</v>
      </c>
      <c r="D8" s="22" t="s">
        <v>465</v>
      </c>
      <c r="E8" s="15"/>
      <c r="F8" s="15"/>
      <c r="G8" s="49">
        <v>340</v>
      </c>
      <c r="H8" s="49">
        <v>440</v>
      </c>
      <c r="I8" s="49">
        <v>500</v>
      </c>
      <c r="J8" s="49">
        <v>500</v>
      </c>
      <c r="K8" s="49">
        <v>500</v>
      </c>
      <c r="L8" s="15"/>
      <c r="M8" s="22" t="s">
        <v>466</v>
      </c>
      <c r="N8" s="15"/>
      <c r="O8" s="15"/>
      <c r="P8" s="15"/>
      <c r="Q8" s="15"/>
      <c r="R8" s="15"/>
      <c r="S8" s="15"/>
      <c r="T8" s="15"/>
      <c r="U8" s="15"/>
    </row>
    <row r="9" spans="2:21" x14ac:dyDescent="0.2">
      <c r="B9" s="15"/>
      <c r="C9" s="14" t="s">
        <v>510</v>
      </c>
      <c r="D9" s="22" t="s">
        <v>103</v>
      </c>
      <c r="E9" s="15"/>
      <c r="F9" s="15"/>
      <c r="G9" s="144">
        <f>Target!G46</f>
        <v>76620.319800000012</v>
      </c>
      <c r="H9" s="144">
        <f>Target!H46</f>
        <v>78918.929394000021</v>
      </c>
      <c r="I9" s="144">
        <f>Target!I46</f>
        <v>81128.659417032017</v>
      </c>
      <c r="J9" s="144">
        <f>Target!J46</f>
        <v>83400.261880708917</v>
      </c>
      <c r="K9" s="144">
        <f>Target!K46</f>
        <v>85485.268427726638</v>
      </c>
      <c r="L9" s="15"/>
      <c r="M9" s="22"/>
      <c r="N9" s="15"/>
      <c r="O9" s="15"/>
      <c r="P9" s="15"/>
      <c r="Q9" s="15"/>
      <c r="R9" s="15"/>
      <c r="S9" s="15"/>
      <c r="T9" s="15"/>
      <c r="U9" s="15"/>
    </row>
    <row r="10" spans="2:21" x14ac:dyDescent="0.2">
      <c r="B10" s="15"/>
      <c r="C10" s="8" t="s">
        <v>511</v>
      </c>
      <c r="D10" s="22" t="s">
        <v>61</v>
      </c>
      <c r="E10" s="15"/>
      <c r="F10" s="15"/>
      <c r="G10" s="9">
        <f>G8*G9/1000000</f>
        <v>26.050908732000003</v>
      </c>
      <c r="H10" s="9">
        <f>H8*H9/1000000</f>
        <v>34.724328933360013</v>
      </c>
      <c r="I10" s="9">
        <f>I8*I9/1000000</f>
        <v>40.564329708516006</v>
      </c>
      <c r="J10" s="9">
        <f>J8*J9/1000000</f>
        <v>41.700130940354462</v>
      </c>
      <c r="K10" s="9">
        <f>K8*K9/1000000</f>
        <v>42.742634213863319</v>
      </c>
      <c r="L10" s="15"/>
      <c r="M10" s="22"/>
      <c r="N10" s="15"/>
      <c r="O10" s="15"/>
      <c r="P10" s="15"/>
      <c r="Q10" s="15"/>
      <c r="R10" s="15"/>
      <c r="S10" s="15"/>
      <c r="T10" s="15"/>
      <c r="U10" s="15"/>
    </row>
    <row r="11" spans="2:21" x14ac:dyDescent="0.2">
      <c r="B11" s="15"/>
      <c r="C11" s="15"/>
      <c r="D11" s="22"/>
      <c r="E11" s="15"/>
      <c r="F11" s="15"/>
      <c r="G11" s="15"/>
      <c r="H11" s="15"/>
      <c r="I11" s="15"/>
      <c r="J11" s="15"/>
      <c r="K11" s="15"/>
      <c r="L11" s="15"/>
      <c r="M11" s="22"/>
      <c r="N11" s="15"/>
      <c r="O11" s="15"/>
      <c r="P11" s="15"/>
      <c r="Q11" s="15"/>
      <c r="R11" s="15"/>
      <c r="S11" s="15"/>
      <c r="T11" s="15"/>
      <c r="U11" s="15"/>
    </row>
    <row r="12" spans="2:21" x14ac:dyDescent="0.2">
      <c r="B12" s="15"/>
      <c r="C12" s="8" t="s">
        <v>513</v>
      </c>
      <c r="D12" s="22" t="s">
        <v>465</v>
      </c>
      <c r="E12" s="15"/>
      <c r="F12" s="15"/>
      <c r="G12" s="49">
        <v>400</v>
      </c>
      <c r="H12" s="49">
        <v>580</v>
      </c>
      <c r="I12" s="49">
        <v>660</v>
      </c>
      <c r="J12" s="49">
        <v>660</v>
      </c>
      <c r="K12" s="49">
        <v>660</v>
      </c>
      <c r="L12" s="15"/>
      <c r="M12" s="22" t="s">
        <v>467</v>
      </c>
      <c r="N12" s="15"/>
      <c r="O12" s="15"/>
      <c r="P12" s="15"/>
      <c r="Q12" s="15"/>
      <c r="R12" s="15"/>
      <c r="S12" s="15"/>
      <c r="T12" s="15"/>
      <c r="U12" s="15"/>
    </row>
    <row r="13" spans="2:21" x14ac:dyDescent="0.2">
      <c r="B13" s="15"/>
      <c r="C13" s="14" t="s">
        <v>514</v>
      </c>
      <c r="D13" s="22" t="s">
        <v>103</v>
      </c>
      <c r="E13" s="15"/>
      <c r="F13" s="15"/>
      <c r="G13" s="144">
        <f>Acquirer!G46</f>
        <v>78521.452600000019</v>
      </c>
      <c r="H13" s="144">
        <f>Acquirer!H46</f>
        <v>80877.096178000022</v>
      </c>
      <c r="I13" s="144">
        <f>Acquirer!I46</f>
        <v>83141.654870984028</v>
      </c>
      <c r="J13" s="144">
        <f>Acquirer!J46</f>
        <v>85469.621207371587</v>
      </c>
      <c r="K13" s="144">
        <f>Acquirer!K46</f>
        <v>87606.361737555868</v>
      </c>
      <c r="L13" s="15"/>
      <c r="M13" s="22"/>
      <c r="N13" s="15"/>
      <c r="O13" s="15"/>
      <c r="P13" s="15"/>
      <c r="Q13" s="15"/>
      <c r="R13" s="15"/>
      <c r="S13" s="15"/>
      <c r="T13" s="15"/>
      <c r="U13" s="15"/>
    </row>
    <row r="14" spans="2:21" x14ac:dyDescent="0.2">
      <c r="B14" s="15"/>
      <c r="C14" s="8" t="s">
        <v>515</v>
      </c>
      <c r="D14" s="22" t="s">
        <v>61</v>
      </c>
      <c r="E14" s="15"/>
      <c r="F14" s="15"/>
      <c r="G14" s="9">
        <f>G12*G13/1000000</f>
        <v>31.408581040000005</v>
      </c>
      <c r="H14" s="9">
        <f>H12*H13/1000000</f>
        <v>46.908715783240012</v>
      </c>
      <c r="I14" s="9">
        <f>I12*I13/1000000</f>
        <v>54.873492214849456</v>
      </c>
      <c r="J14" s="9">
        <f>J12*J13/1000000</f>
        <v>56.409949996865251</v>
      </c>
      <c r="K14" s="9">
        <f>K12*K13/1000000</f>
        <v>57.820198746786872</v>
      </c>
      <c r="L14" s="15"/>
      <c r="M14" s="22"/>
      <c r="N14" s="15"/>
      <c r="O14" s="15"/>
      <c r="P14" s="15"/>
      <c r="Q14" s="15"/>
      <c r="R14" s="15"/>
      <c r="S14" s="15"/>
      <c r="T14" s="15"/>
      <c r="U14" s="15"/>
    </row>
    <row r="15" spans="2:21" x14ac:dyDescent="0.2">
      <c r="B15" s="15"/>
      <c r="C15" s="15"/>
      <c r="D15" s="22"/>
      <c r="E15" s="15"/>
      <c r="F15" s="15"/>
      <c r="G15" s="15"/>
      <c r="H15" s="15"/>
      <c r="I15" s="15"/>
      <c r="J15" s="15"/>
      <c r="K15" s="15"/>
      <c r="L15" s="15"/>
      <c r="M15" s="22"/>
      <c r="N15" s="15"/>
      <c r="O15" s="15"/>
      <c r="P15" s="15"/>
      <c r="Q15" s="15"/>
      <c r="R15" s="15"/>
      <c r="S15" s="15"/>
      <c r="T15" s="15"/>
      <c r="U15" s="15"/>
    </row>
    <row r="16" spans="2:21" x14ac:dyDescent="0.2">
      <c r="B16" s="15"/>
      <c r="C16" s="5" t="s">
        <v>468</v>
      </c>
      <c r="D16" s="22" t="s">
        <v>61</v>
      </c>
      <c r="E16" s="15"/>
      <c r="F16" s="15"/>
      <c r="G16" s="59">
        <f>G10+G14</f>
        <v>57.459489772000012</v>
      </c>
      <c r="H16" s="59">
        <f>H10+H14</f>
        <v>81.633044716600025</v>
      </c>
      <c r="I16" s="59">
        <f>I10+I14</f>
        <v>95.437821923365462</v>
      </c>
      <c r="J16" s="59">
        <f>J10+J14</f>
        <v>98.11008093721972</v>
      </c>
      <c r="K16" s="59">
        <f>K10+K14</f>
        <v>100.56283296065018</v>
      </c>
      <c r="L16" s="15"/>
      <c r="M16" s="22"/>
      <c r="N16" s="15"/>
      <c r="O16" s="15"/>
      <c r="P16" s="15"/>
      <c r="Q16" s="15"/>
      <c r="R16" s="15"/>
      <c r="S16" s="15"/>
      <c r="T16" s="15"/>
      <c r="U16" s="15"/>
    </row>
    <row r="17" spans="2:21" x14ac:dyDescent="0.2">
      <c r="B17" s="15"/>
      <c r="C17" s="8" t="s">
        <v>469</v>
      </c>
      <c r="D17" s="22" t="s">
        <v>4</v>
      </c>
      <c r="E17" s="15"/>
      <c r="F17" s="15"/>
      <c r="G17" s="145">
        <f>Merger_Model!$E$12</f>
        <v>1</v>
      </c>
      <c r="H17" s="145">
        <f>Merger_Model!$E$12</f>
        <v>1</v>
      </c>
      <c r="I17" s="145">
        <f>Merger_Model!$E$12</f>
        <v>1</v>
      </c>
      <c r="J17" s="145">
        <f>Merger_Model!$E$12</f>
        <v>1</v>
      </c>
      <c r="K17" s="145">
        <f>Merger_Model!$E$12</f>
        <v>1</v>
      </c>
      <c r="L17" s="15"/>
      <c r="M17" s="22" t="s">
        <v>470</v>
      </c>
      <c r="N17" s="15"/>
      <c r="O17" s="15"/>
      <c r="P17" s="15"/>
      <c r="Q17" s="15"/>
      <c r="R17" s="15"/>
      <c r="S17" s="15"/>
      <c r="T17" s="15"/>
      <c r="U17" s="15"/>
    </row>
    <row r="18" spans="2:21" ht="17" thickBot="1" x14ac:dyDescent="0.25">
      <c r="B18" s="15"/>
      <c r="C18" s="5" t="s">
        <v>471</v>
      </c>
      <c r="D18" s="22" t="s">
        <v>61</v>
      </c>
      <c r="E18" s="15"/>
      <c r="F18" s="15"/>
      <c r="G18" s="11">
        <f>G16*G17*Merger_Model!$E$11</f>
        <v>57.459489772000012</v>
      </c>
      <c r="H18" s="11">
        <f>H16*H17*Merger_Model!$E$11</f>
        <v>81.633044716600025</v>
      </c>
      <c r="I18" s="11">
        <f>I16*I17*Merger_Model!$E$11</f>
        <v>95.437821923365462</v>
      </c>
      <c r="J18" s="11">
        <f>J16*J17*Merger_Model!$E$11</f>
        <v>98.11008093721972</v>
      </c>
      <c r="K18" s="11">
        <f>K16*K17*Merger_Model!$E$11</f>
        <v>100.56283296065018</v>
      </c>
      <c r="L18" s="15"/>
      <c r="M18" s="22" t="s">
        <v>472</v>
      </c>
      <c r="N18" s="15"/>
      <c r="O18" s="15"/>
      <c r="P18" s="15"/>
      <c r="Q18" s="15"/>
      <c r="R18" s="15"/>
      <c r="S18" s="15"/>
      <c r="T18" s="15"/>
      <c r="U18" s="15"/>
    </row>
    <row r="19" spans="2:21" ht="17" thickTop="1" x14ac:dyDescent="0.2">
      <c r="B19" s="15"/>
      <c r="C19" s="15"/>
      <c r="D19" s="15"/>
      <c r="E19" s="15"/>
      <c r="F19" s="15"/>
      <c r="G19" s="15"/>
      <c r="H19" s="15"/>
      <c r="I19" s="15"/>
      <c r="J19" s="15"/>
      <c r="K19" s="15"/>
      <c r="L19" s="15"/>
      <c r="M19" s="22"/>
      <c r="N19" s="15"/>
      <c r="O19" s="15"/>
      <c r="P19" s="15"/>
      <c r="Q19" s="15"/>
      <c r="R19" s="15"/>
      <c r="S19" s="15"/>
      <c r="T19" s="15"/>
      <c r="U19" s="15"/>
    </row>
    <row r="20" spans="2:21" x14ac:dyDescent="0.2">
      <c r="B20" s="19" t="s">
        <v>473</v>
      </c>
      <c r="C20" s="19"/>
      <c r="D20" s="19"/>
      <c r="E20" s="19"/>
      <c r="F20" s="19"/>
      <c r="G20" s="19"/>
      <c r="H20" s="19"/>
      <c r="I20" s="19"/>
      <c r="J20" s="19"/>
      <c r="K20" s="19"/>
      <c r="L20" s="19"/>
      <c r="M20" s="22" t="s">
        <v>474</v>
      </c>
      <c r="N20" s="15"/>
      <c r="O20" s="15"/>
      <c r="P20" s="15"/>
      <c r="Q20" s="15"/>
      <c r="R20" s="15"/>
      <c r="S20" s="15"/>
      <c r="T20" s="15"/>
      <c r="U20" s="15"/>
    </row>
    <row r="21" spans="2:21" x14ac:dyDescent="0.2">
      <c r="B21" s="15"/>
      <c r="C21" s="15"/>
      <c r="D21" s="22" t="s">
        <v>134</v>
      </c>
      <c r="E21" s="15"/>
      <c r="F21" s="15"/>
      <c r="G21" s="143">
        <f>Merger_Model!$G$89</f>
        <v>46387</v>
      </c>
      <c r="H21" s="143">
        <f>Merger_Model!$H$89</f>
        <v>46752</v>
      </c>
      <c r="I21" s="143">
        <f>Merger_Model!$I$89</f>
        <v>47118</v>
      </c>
      <c r="J21" s="143">
        <f>Merger_Model!$J$89</f>
        <v>47483</v>
      </c>
      <c r="K21" s="143">
        <f>Merger_Model!$K$89</f>
        <v>47848</v>
      </c>
      <c r="L21" s="15"/>
      <c r="M21" s="22"/>
      <c r="N21" s="15"/>
      <c r="O21" s="15"/>
      <c r="P21" s="15"/>
      <c r="Q21" s="15"/>
      <c r="R21" s="15"/>
      <c r="S21" s="15"/>
      <c r="T21" s="15"/>
      <c r="U21" s="15"/>
    </row>
    <row r="22" spans="2:21" x14ac:dyDescent="0.2">
      <c r="B22" s="15"/>
      <c r="C22" s="13" t="s">
        <v>475</v>
      </c>
      <c r="D22" s="22"/>
      <c r="E22" s="15"/>
      <c r="F22" s="15"/>
      <c r="G22" s="15"/>
      <c r="H22" s="15"/>
      <c r="I22" s="15"/>
      <c r="J22" s="15"/>
      <c r="K22" s="15"/>
      <c r="L22" s="15"/>
      <c r="M22" s="22"/>
      <c r="N22" s="15"/>
      <c r="O22" s="15"/>
      <c r="P22" s="15"/>
      <c r="Q22" s="15"/>
      <c r="R22" s="15"/>
      <c r="S22" s="15"/>
      <c r="T22" s="15"/>
      <c r="U22" s="15"/>
    </row>
    <row r="23" spans="2:21" x14ac:dyDescent="0.2">
      <c r="B23" s="15"/>
      <c r="C23" s="14" t="s">
        <v>229</v>
      </c>
      <c r="D23" s="22" t="s">
        <v>4</v>
      </c>
      <c r="E23" s="15"/>
      <c r="F23" s="15"/>
      <c r="G23" s="48">
        <v>0.04</v>
      </c>
      <c r="H23" s="48">
        <v>0.08</v>
      </c>
      <c r="I23" s="48">
        <v>0.12</v>
      </c>
      <c r="J23" s="48">
        <v>0.14000000000000001</v>
      </c>
      <c r="K23" s="48">
        <v>0.14000000000000001</v>
      </c>
      <c r="L23" s="15"/>
      <c r="M23" s="22" t="s">
        <v>476</v>
      </c>
      <c r="N23" s="15"/>
      <c r="O23" s="15"/>
      <c r="P23" s="15"/>
      <c r="Q23" s="15"/>
      <c r="R23" s="15"/>
      <c r="S23" s="15"/>
      <c r="T23" s="15"/>
      <c r="U23" s="15"/>
    </row>
    <row r="24" spans="2:21" x14ac:dyDescent="0.2">
      <c r="B24" s="15"/>
      <c r="C24" s="14" t="s">
        <v>230</v>
      </c>
      <c r="D24" s="22" t="s">
        <v>4</v>
      </c>
      <c r="E24" s="15"/>
      <c r="F24" s="15"/>
      <c r="G24" s="48">
        <v>0.05</v>
      </c>
      <c r="H24" s="48">
        <v>0.1</v>
      </c>
      <c r="I24" s="48">
        <v>0.15</v>
      </c>
      <c r="J24" s="48">
        <v>0.18</v>
      </c>
      <c r="K24" s="48">
        <v>0.18</v>
      </c>
      <c r="L24" s="15"/>
      <c r="M24" s="22"/>
      <c r="N24" s="15"/>
      <c r="O24" s="15"/>
      <c r="P24" s="15"/>
      <c r="Q24" s="15"/>
      <c r="R24" s="15"/>
      <c r="S24" s="15"/>
      <c r="T24" s="15"/>
      <c r="U24" s="15"/>
    </row>
    <row r="25" spans="2:21" x14ac:dyDescent="0.2">
      <c r="B25" s="15"/>
      <c r="C25" s="15"/>
      <c r="D25" s="22"/>
      <c r="E25" s="15"/>
      <c r="F25" s="15"/>
      <c r="G25" s="15"/>
      <c r="H25" s="15"/>
      <c r="I25" s="15"/>
      <c r="J25" s="15"/>
      <c r="K25" s="15"/>
      <c r="L25" s="15"/>
      <c r="M25" s="22"/>
      <c r="N25" s="15"/>
      <c r="O25" s="15"/>
      <c r="P25" s="15"/>
      <c r="Q25" s="15"/>
      <c r="R25" s="15"/>
      <c r="S25" s="15"/>
      <c r="T25" s="15"/>
      <c r="U25" s="15"/>
    </row>
    <row r="26" spans="2:21" x14ac:dyDescent="0.2">
      <c r="B26" s="15"/>
      <c r="C26" s="8" t="s">
        <v>477</v>
      </c>
      <c r="D26" s="22" t="s">
        <v>61</v>
      </c>
      <c r="E26" s="15"/>
      <c r="F26" s="15"/>
      <c r="G26" s="9">
        <f>G23*Target!G85*Merger_Model!$E$10+Synergies!G24*Target!G86*Merger_Model!$E$10</f>
        <v>76.412174999999991</v>
      </c>
      <c r="H26" s="9">
        <f>H23*Target!H85*Merger_Model!$E$10+Synergies!H24*Target!H86*Merger_Model!$E$10</f>
        <v>160.4745198</v>
      </c>
      <c r="I26" s="9">
        <f>I23*Target!I85*Merger_Model!$E$10+Synergies!I24*Target!I86*Merger_Model!$E$10</f>
        <v>251.91614006999998</v>
      </c>
      <c r="J26" s="9">
        <f>J23*Target!J85*Merger_Model!$E$10+Synergies!J24*Target!J86*Merger_Model!$E$10</f>
        <v>310.947656699064</v>
      </c>
      <c r="K26" s="9">
        <f>K23*Target!K85*Merger_Model!$E$10+Synergies!K24*Target!K86*Merger_Model!$E$10</f>
        <v>322.64634715008697</v>
      </c>
      <c r="L26" s="15"/>
      <c r="M26" s="22"/>
      <c r="N26" s="15"/>
      <c r="O26" s="15"/>
      <c r="P26" s="15"/>
      <c r="Q26" s="15"/>
      <c r="R26" s="15"/>
      <c r="S26" s="15"/>
      <c r="T26" s="15"/>
      <c r="U26" s="15"/>
    </row>
    <row r="27" spans="2:21" x14ac:dyDescent="0.2">
      <c r="B27" s="15"/>
      <c r="C27" s="8" t="s">
        <v>478</v>
      </c>
      <c r="D27" s="22" t="s">
        <v>61</v>
      </c>
      <c r="E27" s="15"/>
      <c r="F27" s="15"/>
      <c r="G27" s="9">
        <f>-G26*Target!G42</f>
        <v>-53.870583374999988</v>
      </c>
      <c r="H27" s="9">
        <f>-H26*Target!H42</f>
        <v>-112.81358741939999</v>
      </c>
      <c r="I27" s="9">
        <f>-I26*Target!I42</f>
        <v>-176.59321418906998</v>
      </c>
      <c r="J27" s="9">
        <f>-J26*Target!J42</f>
        <v>-217.66335968934479</v>
      </c>
      <c r="K27" s="9">
        <f>-K26*Target!K42</f>
        <v>-225.85244300506085</v>
      </c>
      <c r="L27" s="15"/>
      <c r="M27" s="22" t="s">
        <v>479</v>
      </c>
      <c r="N27" s="15"/>
      <c r="O27" s="15"/>
      <c r="P27" s="15"/>
      <c r="Q27" s="15"/>
      <c r="R27" s="15"/>
      <c r="S27" s="15"/>
      <c r="T27" s="15"/>
      <c r="U27" s="15"/>
    </row>
    <row r="28" spans="2:21" x14ac:dyDescent="0.2">
      <c r="B28" s="15"/>
      <c r="C28" s="8" t="s">
        <v>480</v>
      </c>
      <c r="D28" s="22" t="s">
        <v>61</v>
      </c>
      <c r="E28" s="15"/>
      <c r="F28" s="15"/>
      <c r="G28" s="9">
        <f>G26*Target!G95/Target!G90</f>
        <v>-13.16994171929116</v>
      </c>
      <c r="H28" s="9">
        <f>H26*Target!H95/Target!H90</f>
        <v>-27.607945369305568</v>
      </c>
      <c r="I28" s="9">
        <f>I26*Target!I95/Target!I90</f>
        <v>-43.237515228634635</v>
      </c>
      <c r="J28" s="9">
        <f>J26*Target!J95/Target!J90</f>
        <v>-53.27619879833459</v>
      </c>
      <c r="K28" s="9">
        <f>K26*Target!K95/Target!K90</f>
        <v>-55.18909944840415</v>
      </c>
      <c r="L28" s="15"/>
      <c r="M28" s="22" t="s">
        <v>481</v>
      </c>
      <c r="N28" s="15"/>
      <c r="O28" s="15"/>
      <c r="P28" s="15"/>
      <c r="Q28" s="15"/>
      <c r="R28" s="15"/>
      <c r="S28" s="15"/>
      <c r="T28" s="15"/>
      <c r="U28" s="15"/>
    </row>
    <row r="29" spans="2:21" ht="17" thickBot="1" x14ac:dyDescent="0.25">
      <c r="B29" s="15"/>
      <c r="C29" s="5" t="s">
        <v>482</v>
      </c>
      <c r="D29" s="22" t="s">
        <v>61</v>
      </c>
      <c r="E29" s="15"/>
      <c r="F29" s="15"/>
      <c r="G29" s="11">
        <f>SUM(G26:G28)</f>
        <v>9.3716499057088427</v>
      </c>
      <c r="H29" s="11">
        <f>SUM(H26:H28)</f>
        <v>20.052987011294434</v>
      </c>
      <c r="I29" s="11">
        <f>SUM(I26:I28)</f>
        <v>32.085410652295366</v>
      </c>
      <c r="J29" s="11">
        <f>SUM(J26:J28)</f>
        <v>40.00809821138462</v>
      </c>
      <c r="K29" s="11">
        <f>SUM(K26:K28)</f>
        <v>41.604804696621969</v>
      </c>
      <c r="L29" s="15"/>
      <c r="M29" s="22"/>
      <c r="N29" s="15"/>
      <c r="O29" s="15"/>
      <c r="P29" s="15"/>
      <c r="Q29" s="15"/>
      <c r="R29" s="15"/>
      <c r="S29" s="15"/>
      <c r="T29" s="15"/>
      <c r="U29" s="15"/>
    </row>
    <row r="30" spans="2:21" ht="17" thickTop="1" x14ac:dyDescent="0.2">
      <c r="B30" s="15"/>
      <c r="C30" s="15"/>
      <c r="D30" s="15"/>
      <c r="E30" s="15"/>
      <c r="F30" s="15"/>
      <c r="G30" s="15"/>
      <c r="H30" s="15"/>
      <c r="I30" s="15"/>
      <c r="J30" s="15"/>
      <c r="K30" s="15"/>
      <c r="L30" s="15"/>
      <c r="M30" s="22"/>
      <c r="N30" s="15"/>
      <c r="O30" s="15"/>
      <c r="P30" s="15"/>
      <c r="Q30" s="15"/>
      <c r="R30" s="15"/>
      <c r="S30" s="15"/>
      <c r="T30" s="15"/>
      <c r="U30" s="15"/>
    </row>
    <row r="31" spans="2:21" x14ac:dyDescent="0.2">
      <c r="B31" s="19" t="s">
        <v>483</v>
      </c>
      <c r="C31" s="19"/>
      <c r="D31" s="19"/>
      <c r="E31" s="19"/>
      <c r="F31" s="19"/>
      <c r="G31" s="19"/>
      <c r="H31" s="19"/>
      <c r="I31" s="19"/>
      <c r="J31" s="19"/>
      <c r="K31" s="19"/>
      <c r="L31" s="19"/>
      <c r="M31" s="22" t="s">
        <v>484</v>
      </c>
      <c r="N31" s="15"/>
      <c r="O31" s="15"/>
      <c r="P31" s="15"/>
      <c r="Q31" s="15"/>
      <c r="R31" s="15"/>
      <c r="S31" s="15"/>
      <c r="T31" s="15"/>
      <c r="U31" s="15"/>
    </row>
    <row r="32" spans="2:21" x14ac:dyDescent="0.2">
      <c r="B32" s="15"/>
      <c r="C32" s="15"/>
      <c r="D32" s="22" t="s">
        <v>134</v>
      </c>
      <c r="E32" s="15"/>
      <c r="F32" s="15"/>
      <c r="G32" s="143">
        <f>Merger_Model!$G$89</f>
        <v>46387</v>
      </c>
      <c r="H32" s="143">
        <f>Merger_Model!$H$89</f>
        <v>46752</v>
      </c>
      <c r="I32" s="143">
        <f>Merger_Model!$I$89</f>
        <v>47118</v>
      </c>
      <c r="J32" s="143">
        <f>Merger_Model!$J$89</f>
        <v>47483</v>
      </c>
      <c r="K32" s="143">
        <f>Merger_Model!$K$89</f>
        <v>47848</v>
      </c>
      <c r="L32" s="15"/>
      <c r="M32" s="22"/>
      <c r="N32" s="15"/>
      <c r="O32" s="15"/>
      <c r="P32" s="15"/>
      <c r="Q32" s="15"/>
      <c r="R32" s="15"/>
      <c r="S32" s="15"/>
      <c r="T32" s="15"/>
      <c r="U32" s="15"/>
    </row>
    <row r="33" spans="2:21" x14ac:dyDescent="0.2">
      <c r="B33" s="15"/>
      <c r="C33" s="8" t="s">
        <v>485</v>
      </c>
      <c r="D33" s="22" t="s">
        <v>4</v>
      </c>
      <c r="E33" s="48">
        <v>1</v>
      </c>
      <c r="F33" s="15"/>
      <c r="G33" s="15"/>
      <c r="H33" s="15"/>
      <c r="I33" s="15"/>
      <c r="J33" s="15"/>
      <c r="K33" s="15"/>
      <c r="L33" s="15"/>
      <c r="M33" s="22"/>
      <c r="N33" s="15"/>
      <c r="O33" s="15"/>
      <c r="P33" s="15"/>
      <c r="Q33" s="15"/>
      <c r="R33" s="15"/>
      <c r="S33" s="15"/>
      <c r="T33" s="15"/>
      <c r="U33" s="15"/>
    </row>
    <row r="34" spans="2:21" x14ac:dyDescent="0.2">
      <c r="B34" s="15"/>
      <c r="C34" s="8" t="s">
        <v>486</v>
      </c>
      <c r="D34" s="22" t="s">
        <v>61</v>
      </c>
      <c r="E34" s="9">
        <f>$E$33*I16*Merger_Model!$E$12</f>
        <v>95.437821923365462</v>
      </c>
      <c r="F34" s="15"/>
      <c r="G34" s="15"/>
      <c r="H34" s="15"/>
      <c r="I34" s="15"/>
      <c r="J34" s="15"/>
      <c r="K34" s="15"/>
      <c r="L34" s="15"/>
      <c r="M34" s="22" t="s">
        <v>487</v>
      </c>
      <c r="N34" s="15"/>
      <c r="O34" s="15"/>
      <c r="P34" s="15"/>
      <c r="Q34" s="15"/>
      <c r="R34" s="15"/>
      <c r="S34" s="15"/>
      <c r="T34" s="15"/>
      <c r="U34" s="15"/>
    </row>
    <row r="35" spans="2:21" x14ac:dyDescent="0.2">
      <c r="B35" s="15"/>
      <c r="C35" s="8" t="s">
        <v>488</v>
      </c>
      <c r="D35" s="22" t="s">
        <v>4</v>
      </c>
      <c r="E35" s="15"/>
      <c r="F35" s="15"/>
      <c r="G35" s="48">
        <v>0.66666666666666696</v>
      </c>
      <c r="H35" s="48">
        <v>0.33333333333333298</v>
      </c>
      <c r="I35" s="48">
        <v>0</v>
      </c>
      <c r="J35" s="48">
        <v>0</v>
      </c>
      <c r="K35" s="48">
        <v>0</v>
      </c>
      <c r="L35" s="15"/>
      <c r="M35" s="22" t="s">
        <v>489</v>
      </c>
      <c r="N35" s="15"/>
      <c r="O35" s="15"/>
      <c r="P35" s="15"/>
      <c r="Q35" s="15"/>
      <c r="R35" s="15"/>
      <c r="S35" s="15"/>
      <c r="T35" s="15"/>
      <c r="U35" s="15"/>
    </row>
    <row r="36" spans="2:21" ht="17" thickBot="1" x14ac:dyDescent="0.25">
      <c r="B36" s="15"/>
      <c r="C36" s="5" t="s">
        <v>490</v>
      </c>
      <c r="D36" s="22" t="s">
        <v>61</v>
      </c>
      <c r="E36" s="15"/>
      <c r="F36" s="15"/>
      <c r="G36" s="11">
        <f>$E$34*G35</f>
        <v>63.625214615577001</v>
      </c>
      <c r="H36" s="11">
        <f>$E$34*H35</f>
        <v>31.812607307788454</v>
      </c>
      <c r="I36" s="11">
        <f>$E$34*I35</f>
        <v>0</v>
      </c>
      <c r="J36" s="11">
        <f>$E$34*J35</f>
        <v>0</v>
      </c>
      <c r="K36" s="11">
        <f>$E$34*K35</f>
        <v>0</v>
      </c>
      <c r="L36" s="15"/>
      <c r="M36" s="22"/>
      <c r="N36" s="15"/>
      <c r="O36" s="15"/>
      <c r="P36" s="15"/>
      <c r="Q36" s="15"/>
      <c r="R36" s="15"/>
      <c r="S36" s="15"/>
      <c r="T36" s="15"/>
      <c r="U36" s="15"/>
    </row>
    <row r="37" spans="2:21" ht="17" thickTop="1" x14ac:dyDescent="0.2">
      <c r="B37" s="15"/>
      <c r="C37" s="15"/>
      <c r="D37" s="15"/>
      <c r="E37" s="15"/>
      <c r="F37" s="15"/>
      <c r="G37" s="15"/>
      <c r="H37" s="15"/>
      <c r="I37" s="15"/>
      <c r="J37" s="15"/>
      <c r="K37" s="15"/>
      <c r="L37" s="15"/>
      <c r="M37" s="22"/>
      <c r="N37" s="15"/>
      <c r="O37" s="15"/>
      <c r="P37" s="15"/>
      <c r="Q37" s="15"/>
      <c r="R37" s="15"/>
      <c r="S37" s="15"/>
      <c r="T37" s="15"/>
      <c r="U37" s="15"/>
    </row>
    <row r="38" spans="2:21" x14ac:dyDescent="0.2">
      <c r="B38" s="19" t="s">
        <v>491</v>
      </c>
      <c r="C38" s="19"/>
      <c r="D38" s="19"/>
      <c r="E38" s="19"/>
      <c r="F38" s="19"/>
      <c r="G38" s="19"/>
      <c r="H38" s="19"/>
      <c r="I38" s="19"/>
      <c r="J38" s="19"/>
      <c r="K38" s="19"/>
      <c r="L38" s="19"/>
      <c r="M38" s="22"/>
      <c r="N38" s="15"/>
      <c r="O38" s="15"/>
      <c r="P38" s="15"/>
      <c r="Q38" s="15"/>
      <c r="R38" s="15"/>
      <c r="S38" s="15"/>
      <c r="T38" s="15"/>
      <c r="U38" s="15"/>
    </row>
    <row r="39" spans="2:21" x14ac:dyDescent="0.2">
      <c r="B39" s="15"/>
      <c r="C39" s="15"/>
      <c r="D39" s="15"/>
      <c r="E39" s="15"/>
      <c r="F39" s="15"/>
      <c r="G39" s="15"/>
      <c r="H39" s="15"/>
      <c r="I39" s="15"/>
      <c r="J39" s="15"/>
      <c r="K39" s="15"/>
      <c r="L39" s="15"/>
      <c r="M39" s="22"/>
      <c r="N39" s="15"/>
      <c r="O39" s="15"/>
      <c r="P39" s="15"/>
      <c r="Q39" s="15"/>
      <c r="R39" s="15"/>
      <c r="S39" s="15"/>
      <c r="T39" s="15"/>
      <c r="U39" s="15"/>
    </row>
    <row r="40" spans="2:21" x14ac:dyDescent="0.2">
      <c r="B40" s="15"/>
      <c r="C40" s="5" t="s">
        <v>492</v>
      </c>
      <c r="D40" s="22" t="s">
        <v>61</v>
      </c>
      <c r="E40" s="15"/>
      <c r="F40" s="15"/>
      <c r="G40" s="7">
        <f>G18+G29-G36</f>
        <v>3.2059250621318469</v>
      </c>
      <c r="H40" s="7">
        <f>H18+H29-H36</f>
        <v>69.873424420106005</v>
      </c>
      <c r="I40" s="7">
        <f>I18+I29-I36</f>
        <v>127.52323257566083</v>
      </c>
      <c r="J40" s="7">
        <f>J18+J29-J36</f>
        <v>138.11817914860433</v>
      </c>
      <c r="K40" s="7">
        <f>K18+K29-K36</f>
        <v>142.16763765727217</v>
      </c>
      <c r="L40" s="15"/>
      <c r="M40" s="22"/>
      <c r="N40" s="15"/>
      <c r="O40" s="15"/>
      <c r="P40" s="15"/>
      <c r="Q40" s="15"/>
      <c r="R40" s="15"/>
      <c r="S40" s="15"/>
      <c r="T40" s="15"/>
      <c r="U40" s="15"/>
    </row>
    <row r="41" spans="2:21" x14ac:dyDescent="0.2">
      <c r="B41" s="15"/>
      <c r="C41" s="8" t="s">
        <v>493</v>
      </c>
      <c r="D41" s="22" t="s">
        <v>61</v>
      </c>
      <c r="E41" s="15"/>
      <c r="F41" s="15"/>
      <c r="G41" s="9">
        <f>-G40*Acquirer!$E$10</f>
        <v>-0.76942201491164319</v>
      </c>
      <c r="H41" s="9">
        <f>-H40*Acquirer!$E$10</f>
        <v>-16.769621860825442</v>
      </c>
      <c r="I41" s="9">
        <f>-I40*Acquirer!$E$10</f>
        <v>-30.605575818158599</v>
      </c>
      <c r="J41" s="9">
        <f>-J40*Acquirer!$E$10</f>
        <v>-33.148362995665039</v>
      </c>
      <c r="K41" s="9">
        <f>-K40*Acquirer!$E$10</f>
        <v>-34.120233037745322</v>
      </c>
      <c r="L41" s="15"/>
      <c r="M41" s="22"/>
      <c r="N41" s="15"/>
      <c r="O41" s="15"/>
      <c r="P41" s="15"/>
      <c r="Q41" s="15"/>
      <c r="R41" s="15"/>
      <c r="S41" s="15"/>
      <c r="T41" s="15"/>
      <c r="U41" s="15"/>
    </row>
    <row r="42" spans="2:21" ht="17" thickBot="1" x14ac:dyDescent="0.25">
      <c r="B42" s="15"/>
      <c r="C42" s="5" t="s">
        <v>494</v>
      </c>
      <c r="D42" s="22" t="s">
        <v>61</v>
      </c>
      <c r="E42" s="15"/>
      <c r="F42" s="15"/>
      <c r="G42" s="11">
        <f>G40+G41</f>
        <v>2.4365030472202038</v>
      </c>
      <c r="H42" s="11">
        <f>H40+H41</f>
        <v>53.103802559280567</v>
      </c>
      <c r="I42" s="11">
        <f>I40+I41</f>
        <v>96.917656757502229</v>
      </c>
      <c r="J42" s="11">
        <f>J40+J41</f>
        <v>104.96981615293929</v>
      </c>
      <c r="K42" s="11">
        <f>K40+K41</f>
        <v>108.04740461952684</v>
      </c>
      <c r="L42" s="15"/>
      <c r="M42" s="22"/>
      <c r="N42" s="15"/>
      <c r="O42" s="15"/>
      <c r="P42" s="15"/>
      <c r="Q42" s="15"/>
      <c r="R42" s="15"/>
      <c r="S42" s="15"/>
      <c r="T42" s="15"/>
      <c r="U42" s="15"/>
    </row>
    <row r="43" spans="2:21" ht="17" thickTop="1" x14ac:dyDescent="0.2">
      <c r="B43" s="15"/>
      <c r="C43" s="15"/>
      <c r="D43" s="15"/>
      <c r="E43" s="15"/>
      <c r="F43" s="15"/>
      <c r="G43" s="15"/>
      <c r="H43" s="15"/>
      <c r="I43" s="15"/>
      <c r="J43" s="15"/>
      <c r="K43" s="15"/>
      <c r="L43" s="15"/>
      <c r="M43" s="22"/>
      <c r="N43" s="15"/>
      <c r="O43" s="15"/>
      <c r="P43" s="15"/>
      <c r="Q43" s="15"/>
      <c r="R43" s="15"/>
      <c r="S43" s="15"/>
      <c r="T43" s="15"/>
      <c r="U43" s="15"/>
    </row>
    <row r="44" spans="2:21" x14ac:dyDescent="0.2">
      <c r="B44" s="19" t="s">
        <v>495</v>
      </c>
      <c r="C44" s="19"/>
      <c r="D44" s="19"/>
      <c r="E44" s="19"/>
      <c r="F44" s="19"/>
      <c r="G44" s="19"/>
      <c r="H44" s="19"/>
      <c r="I44" s="19"/>
      <c r="J44" s="19"/>
      <c r="K44" s="19"/>
      <c r="L44" s="19"/>
      <c r="M44" s="22" t="s">
        <v>496</v>
      </c>
      <c r="N44" s="15"/>
      <c r="O44" s="15"/>
      <c r="P44" s="15"/>
      <c r="Q44" s="15"/>
      <c r="R44" s="15"/>
      <c r="S44" s="15"/>
      <c r="T44" s="15"/>
      <c r="U44" s="15"/>
    </row>
    <row r="45" spans="2:21" x14ac:dyDescent="0.2">
      <c r="B45" s="15"/>
      <c r="C45" s="15"/>
      <c r="D45" s="15"/>
      <c r="E45" s="15"/>
      <c r="F45" s="15"/>
      <c r="G45" s="15"/>
      <c r="H45" s="15"/>
      <c r="I45" s="15"/>
      <c r="J45" s="15"/>
      <c r="K45" s="15"/>
      <c r="L45" s="15"/>
      <c r="M45" s="22"/>
      <c r="N45" s="15"/>
      <c r="O45" s="15"/>
      <c r="P45" s="15"/>
      <c r="Q45" s="15"/>
      <c r="R45" s="15"/>
      <c r="S45" s="15"/>
      <c r="T45" s="15"/>
      <c r="U45" s="15"/>
    </row>
    <row r="46" spans="2:21" x14ac:dyDescent="0.2">
      <c r="B46" s="15"/>
      <c r="C46" s="8" t="s">
        <v>497</v>
      </c>
      <c r="D46" s="22" t="s">
        <v>4</v>
      </c>
      <c r="E46" s="146">
        <f>WACC!$F$44</f>
        <v>0.10390377730707652</v>
      </c>
      <c r="F46" s="15"/>
      <c r="G46" s="15"/>
      <c r="H46" s="15"/>
      <c r="I46" s="15"/>
      <c r="J46" s="15"/>
      <c r="K46" s="15"/>
      <c r="L46" s="15"/>
      <c r="M46" s="22"/>
      <c r="N46" s="15"/>
      <c r="O46" s="15"/>
      <c r="P46" s="15"/>
      <c r="Q46" s="15"/>
      <c r="R46" s="15"/>
      <c r="S46" s="15"/>
      <c r="T46" s="15"/>
      <c r="U46" s="15"/>
    </row>
    <row r="47" spans="2:21" x14ac:dyDescent="0.2">
      <c r="B47" s="15"/>
      <c r="C47" s="8" t="s">
        <v>498</v>
      </c>
      <c r="D47" s="22"/>
      <c r="E47" s="48">
        <v>1.4999999999999999E-2</v>
      </c>
      <c r="F47" s="15"/>
      <c r="G47" s="143">
        <f>Merger_Model!$G$89</f>
        <v>46387</v>
      </c>
      <c r="H47" s="143">
        <f>Merger_Model!$H$89</f>
        <v>46752</v>
      </c>
      <c r="I47" s="143">
        <f>Merger_Model!$I$89</f>
        <v>47118</v>
      </c>
      <c r="J47" s="143">
        <f>Merger_Model!$J$89</f>
        <v>47483</v>
      </c>
      <c r="K47" s="143">
        <f>Merger_Model!$K$89</f>
        <v>47848</v>
      </c>
      <c r="L47" s="15"/>
      <c r="M47" s="22" t="s">
        <v>499</v>
      </c>
      <c r="N47" s="15"/>
      <c r="O47" s="15"/>
      <c r="P47" s="15"/>
      <c r="Q47" s="15"/>
      <c r="R47" s="15"/>
      <c r="S47" s="15"/>
      <c r="T47" s="15"/>
      <c r="U47" s="15"/>
    </row>
    <row r="48" spans="2:21" x14ac:dyDescent="0.2">
      <c r="B48" s="15"/>
      <c r="C48" s="8" t="s">
        <v>500</v>
      </c>
      <c r="D48" s="22" t="s">
        <v>61</v>
      </c>
      <c r="E48" s="15"/>
      <c r="F48" s="15"/>
      <c r="G48" s="9">
        <f>G42</f>
        <v>2.4365030472202038</v>
      </c>
      <c r="H48" s="9">
        <f>H42</f>
        <v>53.103802559280567</v>
      </c>
      <c r="I48" s="9">
        <f>I42</f>
        <v>96.917656757502229</v>
      </c>
      <c r="J48" s="9">
        <f>J42</f>
        <v>104.96981615293929</v>
      </c>
      <c r="K48" s="9">
        <f>K42</f>
        <v>108.04740461952684</v>
      </c>
      <c r="L48" s="15"/>
      <c r="M48" s="22"/>
      <c r="N48" s="15"/>
      <c r="O48" s="15"/>
      <c r="P48" s="15"/>
      <c r="Q48" s="15"/>
      <c r="R48" s="15"/>
      <c r="S48" s="15"/>
      <c r="T48" s="15"/>
      <c r="U48" s="15"/>
    </row>
    <row r="49" spans="2:21" x14ac:dyDescent="0.2">
      <c r="B49" s="15"/>
      <c r="C49" s="8" t="s">
        <v>501</v>
      </c>
      <c r="D49" s="22" t="s">
        <v>61</v>
      </c>
      <c r="E49" s="15"/>
      <c r="F49" s="15"/>
      <c r="G49" s="15"/>
      <c r="H49" s="15"/>
      <c r="I49" s="15"/>
      <c r="J49" s="15"/>
      <c r="K49" s="9">
        <f>K48*(1+$E$47)/($E$46-$E$47)</f>
        <v>1233.5596867838644</v>
      </c>
      <c r="L49" s="15"/>
      <c r="M49" s="22" t="s">
        <v>502</v>
      </c>
      <c r="N49" s="15"/>
      <c r="O49" s="15"/>
      <c r="P49" s="15"/>
      <c r="Q49" s="15"/>
      <c r="R49" s="15"/>
      <c r="S49" s="15"/>
      <c r="T49" s="15"/>
      <c r="U49" s="15"/>
    </row>
    <row r="50" spans="2:21" x14ac:dyDescent="0.2">
      <c r="B50" s="15"/>
      <c r="C50" s="8" t="s">
        <v>503</v>
      </c>
      <c r="D50" s="22" t="s">
        <v>338</v>
      </c>
      <c r="E50" s="15"/>
      <c r="F50" s="15"/>
      <c r="G50" s="49">
        <v>1</v>
      </c>
      <c r="H50" s="49">
        <v>2</v>
      </c>
      <c r="I50" s="49">
        <v>3</v>
      </c>
      <c r="J50" s="49">
        <v>4</v>
      </c>
      <c r="K50" s="49">
        <v>5</v>
      </c>
      <c r="L50" s="15"/>
      <c r="M50" s="22"/>
      <c r="N50" s="15"/>
      <c r="O50" s="15"/>
      <c r="P50" s="15"/>
      <c r="Q50" s="15"/>
      <c r="R50" s="15"/>
      <c r="S50" s="15"/>
      <c r="T50" s="15"/>
      <c r="U50" s="15"/>
    </row>
    <row r="51" spans="2:21" x14ac:dyDescent="0.2">
      <c r="B51" s="15"/>
      <c r="C51" s="8" t="s">
        <v>504</v>
      </c>
      <c r="D51" s="22" t="s">
        <v>61</v>
      </c>
      <c r="E51" s="15"/>
      <c r="F51" s="15"/>
      <c r="G51" s="9">
        <f>(G48+G49)/(1+$E$46)^G50</f>
        <v>2.2071697708689277</v>
      </c>
      <c r="H51" s="9">
        <f>(H48+H49)/(1+$E$46)^H50</f>
        <v>43.57758729552944</v>
      </c>
      <c r="I51" s="9">
        <f>(I48+I49)/(1+$E$46)^I50</f>
        <v>72.045896053153712</v>
      </c>
      <c r="J51" s="9">
        <f>(J48+J49)/(1+$E$46)^J50</f>
        <v>70.687001404988848</v>
      </c>
      <c r="K51" s="9">
        <f>(K48+K49)/(1+$E$46)^K50</f>
        <v>818.40683574565946</v>
      </c>
      <c r="L51" s="15"/>
      <c r="M51" s="22"/>
      <c r="N51" s="15"/>
      <c r="O51" s="15"/>
      <c r="P51" s="15"/>
      <c r="Q51" s="15"/>
      <c r="R51" s="15"/>
      <c r="S51" s="15"/>
      <c r="T51" s="15"/>
      <c r="U51" s="15"/>
    </row>
    <row r="52" spans="2:21" ht="17" thickBot="1" x14ac:dyDescent="0.25">
      <c r="B52" s="15"/>
      <c r="C52" s="5" t="s">
        <v>505</v>
      </c>
      <c r="D52" s="22" t="s">
        <v>61</v>
      </c>
      <c r="E52" s="11">
        <f>SUM(G51:K51)</f>
        <v>1006.9244902702004</v>
      </c>
      <c r="F52" s="15"/>
      <c r="G52" s="15"/>
      <c r="H52" s="15"/>
      <c r="I52" s="15"/>
      <c r="J52" s="15"/>
      <c r="K52" s="15"/>
      <c r="L52" s="15"/>
      <c r="M52" s="22"/>
      <c r="N52" s="15"/>
      <c r="O52" s="15"/>
      <c r="P52" s="15"/>
      <c r="Q52" s="15"/>
      <c r="R52" s="15"/>
      <c r="S52" s="15"/>
      <c r="T52" s="15"/>
      <c r="U52" s="15"/>
    </row>
    <row r="53" spans="2:21" ht="17" thickTop="1" x14ac:dyDescent="0.2">
      <c r="B53" s="15"/>
      <c r="C53" s="15"/>
      <c r="D53" s="22"/>
      <c r="E53" s="15"/>
      <c r="F53" s="15"/>
      <c r="G53" s="15"/>
      <c r="H53" s="15"/>
      <c r="I53" s="15"/>
      <c r="J53" s="15"/>
      <c r="K53" s="15"/>
      <c r="L53" s="15"/>
      <c r="M53" s="22"/>
      <c r="N53" s="15"/>
      <c r="O53" s="15"/>
      <c r="P53" s="15"/>
      <c r="Q53" s="15"/>
      <c r="R53" s="15"/>
      <c r="S53" s="15"/>
      <c r="T53" s="15"/>
      <c r="U53" s="15"/>
    </row>
    <row r="54" spans="2:21" x14ac:dyDescent="0.2">
      <c r="B54" s="15"/>
      <c r="C54" s="5" t="s">
        <v>506</v>
      </c>
      <c r="D54" s="22" t="s">
        <v>61</v>
      </c>
      <c r="E54" s="7">
        <f>Merger_Model!$E$20-Target!$E$17</f>
        <v>596.40000000000009</v>
      </c>
      <c r="F54" s="15"/>
      <c r="G54" s="15"/>
      <c r="H54" s="15"/>
      <c r="I54" s="15"/>
      <c r="J54" s="15"/>
      <c r="K54" s="15"/>
      <c r="L54" s="15"/>
      <c r="M54" s="22"/>
      <c r="N54" s="15"/>
      <c r="O54" s="15"/>
      <c r="P54" s="15"/>
      <c r="Q54" s="15"/>
      <c r="R54" s="15"/>
      <c r="S54" s="15"/>
      <c r="T54" s="15"/>
      <c r="U54" s="15"/>
    </row>
    <row r="55" spans="2:21" x14ac:dyDescent="0.2">
      <c r="B55" s="15"/>
      <c r="C55" s="5" t="s">
        <v>507</v>
      </c>
      <c r="D55" s="22" t="s">
        <v>2</v>
      </c>
      <c r="E55" s="110">
        <f>E52/E54</f>
        <v>1.6883375088366872</v>
      </c>
      <c r="F55" s="15"/>
      <c r="G55" s="15"/>
      <c r="H55" s="15"/>
      <c r="I55" s="15"/>
      <c r="J55" s="15"/>
      <c r="K55" s="15"/>
      <c r="L55" s="15"/>
      <c r="M55" s="22" t="s">
        <v>508</v>
      </c>
      <c r="N55" s="15"/>
      <c r="O55" s="15"/>
      <c r="P55" s="15"/>
      <c r="Q55" s="15"/>
      <c r="R55" s="15"/>
      <c r="S55" s="15"/>
      <c r="T55" s="15"/>
      <c r="U55" s="15"/>
    </row>
    <row r="56" spans="2:21" x14ac:dyDescent="0.2">
      <c r="B56" s="15"/>
      <c r="C56" s="15"/>
      <c r="D56" s="15"/>
      <c r="E56" s="15"/>
      <c r="F56" s="15"/>
      <c r="G56" s="15"/>
      <c r="H56" s="15"/>
      <c r="I56" s="15"/>
      <c r="J56" s="15"/>
      <c r="K56" s="15"/>
      <c r="L56" s="15"/>
      <c r="M56" s="22"/>
      <c r="N56" s="15"/>
      <c r="O56" s="15"/>
      <c r="P56" s="15"/>
      <c r="Q56" s="15"/>
      <c r="R56" s="15"/>
      <c r="S56" s="15"/>
      <c r="T56" s="15"/>
      <c r="U56" s="15"/>
    </row>
    <row r="57" spans="2:21" x14ac:dyDescent="0.2">
      <c r="B57" s="15"/>
      <c r="C57" s="15"/>
      <c r="D57" s="15"/>
      <c r="E57" s="15"/>
      <c r="F57" s="15"/>
      <c r="G57" s="15"/>
      <c r="H57" s="15"/>
      <c r="I57" s="15"/>
      <c r="J57" s="15"/>
      <c r="K57" s="15"/>
      <c r="L57" s="15"/>
      <c r="M57" s="15"/>
      <c r="N57" s="15"/>
      <c r="O57" s="15"/>
      <c r="P57" s="15"/>
      <c r="Q57" s="15"/>
      <c r="R57" s="15"/>
      <c r="S57" s="15"/>
      <c r="T57" s="15"/>
      <c r="U57" s="15"/>
    </row>
    <row r="58" spans="2:21" x14ac:dyDescent="0.2">
      <c r="B58" s="15"/>
      <c r="C58" s="15"/>
      <c r="D58" s="15"/>
      <c r="E58" s="15"/>
      <c r="F58" s="15"/>
      <c r="G58" s="15"/>
      <c r="H58" s="15"/>
      <c r="I58" s="15"/>
      <c r="J58" s="15"/>
      <c r="K58" s="15"/>
      <c r="L58" s="15"/>
      <c r="M58" s="15"/>
      <c r="N58" s="15"/>
      <c r="O58" s="15"/>
      <c r="P58" s="15"/>
      <c r="Q58" s="15"/>
      <c r="R58" s="15"/>
      <c r="S58" s="15"/>
      <c r="T58" s="15"/>
      <c r="U58" s="15"/>
    </row>
    <row r="59" spans="2:21" x14ac:dyDescent="0.2">
      <c r="B59" s="15"/>
      <c r="C59" s="15"/>
      <c r="D59" s="15"/>
      <c r="E59" s="15"/>
      <c r="F59" s="15"/>
      <c r="G59" s="15"/>
      <c r="H59" s="15"/>
      <c r="I59" s="15"/>
      <c r="J59" s="15"/>
      <c r="K59" s="15"/>
      <c r="L59" s="15"/>
      <c r="M59" s="15"/>
      <c r="N59" s="15"/>
      <c r="O59" s="15"/>
      <c r="P59" s="15"/>
      <c r="Q59" s="15"/>
      <c r="R59" s="15"/>
      <c r="S59" s="15"/>
      <c r="T59" s="15"/>
      <c r="U59"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C350-8770-5247-8786-7F95AF29DE32}">
  <dimension ref="B2:S43"/>
  <sheetViews>
    <sheetView showGridLines="0" workbookViewId="0">
      <selection activeCell="H36" sqref="H36"/>
    </sheetView>
  </sheetViews>
  <sheetFormatPr baseColWidth="10" defaultRowHeight="16" x14ac:dyDescent="0.2"/>
  <cols>
    <col min="1" max="2" width="2.83203125" customWidth="1"/>
    <col min="3" max="3" width="42.83203125" customWidth="1"/>
    <col min="4" max="4" width="13.83203125" customWidth="1"/>
    <col min="5" max="5" width="14" bestFit="1" customWidth="1"/>
    <col min="6" max="6" width="12.1640625" bestFit="1" customWidth="1"/>
    <col min="7" max="7" width="9.33203125" bestFit="1" customWidth="1"/>
    <col min="8" max="8" width="11.33203125" bestFit="1" customWidth="1"/>
    <col min="9" max="9" width="9.6640625" bestFit="1" customWidth="1"/>
  </cols>
  <sheetData>
    <row r="2" spans="2:19" ht="19" x14ac:dyDescent="0.2">
      <c r="B2" s="91" t="s">
        <v>516</v>
      </c>
      <c r="C2" s="15"/>
      <c r="D2" s="15"/>
      <c r="E2" s="15"/>
      <c r="F2" s="15"/>
      <c r="G2" s="15"/>
      <c r="H2" s="15"/>
      <c r="I2" s="15"/>
      <c r="J2" s="15"/>
      <c r="K2" s="15"/>
      <c r="L2" s="15"/>
      <c r="M2" s="15"/>
      <c r="N2" s="15"/>
      <c r="O2" s="15"/>
      <c r="P2" s="15"/>
      <c r="Q2" s="15"/>
      <c r="R2" s="15"/>
      <c r="S2" s="15"/>
    </row>
    <row r="3" spans="2:19" x14ac:dyDescent="0.2">
      <c r="B3" s="22" t="s">
        <v>222</v>
      </c>
      <c r="C3" s="15"/>
      <c r="D3" s="15"/>
      <c r="E3" s="15"/>
      <c r="F3" s="15"/>
      <c r="G3" s="15"/>
      <c r="H3" s="15"/>
      <c r="I3" s="15"/>
      <c r="J3" s="15"/>
      <c r="K3" s="15"/>
      <c r="L3" s="15"/>
      <c r="M3" s="15"/>
      <c r="N3" s="15"/>
      <c r="O3" s="15"/>
      <c r="P3" s="15"/>
      <c r="Q3" s="15"/>
      <c r="R3" s="15"/>
      <c r="S3" s="15"/>
    </row>
    <row r="4" spans="2:19" x14ac:dyDescent="0.2">
      <c r="B4" s="22" t="s">
        <v>517</v>
      </c>
      <c r="C4" s="15"/>
      <c r="D4" s="15"/>
      <c r="E4" s="15"/>
      <c r="F4" s="15"/>
      <c r="G4" s="15"/>
      <c r="H4" s="15"/>
      <c r="I4" s="15"/>
      <c r="J4" s="15"/>
      <c r="K4" s="15"/>
      <c r="L4" s="15"/>
      <c r="M4" s="22"/>
      <c r="N4" s="22"/>
      <c r="O4" s="15"/>
      <c r="P4" s="15"/>
      <c r="Q4" s="15"/>
      <c r="R4" s="15"/>
      <c r="S4" s="15"/>
    </row>
    <row r="5" spans="2:19" x14ac:dyDescent="0.2">
      <c r="B5" s="56" t="s">
        <v>518</v>
      </c>
      <c r="C5" s="56"/>
      <c r="D5" s="56"/>
      <c r="E5" s="56"/>
      <c r="F5" s="56"/>
      <c r="G5" s="56"/>
      <c r="H5" s="56"/>
      <c r="I5" s="56"/>
      <c r="J5" s="56"/>
      <c r="K5" s="56"/>
      <c r="L5" s="56"/>
      <c r="M5" s="22" t="s">
        <v>519</v>
      </c>
      <c r="N5" s="22"/>
      <c r="O5" s="15"/>
      <c r="P5" s="15"/>
      <c r="Q5" s="15"/>
      <c r="R5" s="15"/>
      <c r="S5" s="15"/>
    </row>
    <row r="6" spans="2:19" x14ac:dyDescent="0.2">
      <c r="B6" s="15"/>
      <c r="C6" s="15"/>
      <c r="D6" s="6" t="s">
        <v>134</v>
      </c>
      <c r="E6" s="57" t="s">
        <v>520</v>
      </c>
      <c r="F6" s="57" t="s">
        <v>521</v>
      </c>
      <c r="G6" s="57" t="s">
        <v>30</v>
      </c>
      <c r="H6" s="57" t="s">
        <v>522</v>
      </c>
      <c r="I6" s="57" t="s">
        <v>523</v>
      </c>
      <c r="J6" s="15"/>
      <c r="K6" s="15"/>
      <c r="L6" s="15"/>
      <c r="M6" s="22"/>
      <c r="N6" s="22"/>
      <c r="O6" s="15"/>
      <c r="P6" s="15"/>
      <c r="Q6" s="15"/>
      <c r="R6" s="15"/>
      <c r="S6" s="15"/>
    </row>
    <row r="7" spans="2:19" x14ac:dyDescent="0.2">
      <c r="B7" s="15"/>
      <c r="C7" s="58" t="s">
        <v>140</v>
      </c>
      <c r="D7" s="15"/>
      <c r="E7" s="15"/>
      <c r="F7" s="15"/>
      <c r="G7" s="15"/>
      <c r="H7" s="15"/>
      <c r="I7" s="15"/>
      <c r="J7" s="15"/>
      <c r="K7" s="15"/>
      <c r="L7" s="15"/>
      <c r="M7" s="22"/>
      <c r="N7" s="22"/>
      <c r="O7" s="15"/>
      <c r="P7" s="15"/>
      <c r="Q7" s="15"/>
      <c r="R7" s="15"/>
      <c r="S7" s="15"/>
    </row>
    <row r="8" spans="2:19" x14ac:dyDescent="0.2">
      <c r="B8" s="15"/>
      <c r="C8" s="14" t="s">
        <v>141</v>
      </c>
      <c r="D8" s="6" t="s">
        <v>61</v>
      </c>
      <c r="E8" s="108">
        <f>Acquirer!F116</f>
        <v>362.16441700086324</v>
      </c>
      <c r="F8" s="108">
        <f>Target!F116</f>
        <v>220.26067174994691</v>
      </c>
      <c r="G8" s="9">
        <f>E8+F8</f>
        <v>582.42508875081012</v>
      </c>
      <c r="H8" s="9">
        <f>-Merger_Model!E49-Merger_Model!E46-Merger_Model!E44*Merger_Model!E20-Merger_Model!E45*(Merger_Model!E50+Merger_Model!E21)</f>
        <v>-49.112400000000001</v>
      </c>
      <c r="I8" s="7">
        <f>G8+H8</f>
        <v>533.31268875081014</v>
      </c>
      <c r="J8" s="15"/>
      <c r="K8" s="15"/>
      <c r="L8" s="15"/>
      <c r="M8" s="22" t="s">
        <v>524</v>
      </c>
      <c r="N8" s="22"/>
      <c r="O8" s="15"/>
      <c r="P8" s="15"/>
      <c r="Q8" s="15"/>
      <c r="R8" s="15"/>
      <c r="S8" s="15"/>
    </row>
    <row r="9" spans="2:19" x14ac:dyDescent="0.2">
      <c r="B9" s="15"/>
      <c r="C9" s="14" t="s">
        <v>142</v>
      </c>
      <c r="D9" s="6" t="s">
        <v>61</v>
      </c>
      <c r="E9" s="108">
        <f>Acquirer!F117</f>
        <v>825.03359999999986</v>
      </c>
      <c r="F9" s="108">
        <f>Target!F117</f>
        <v>411.69200000000001</v>
      </c>
      <c r="G9" s="9">
        <f>E9+F9</f>
        <v>1236.7255999999998</v>
      </c>
      <c r="H9" s="10">
        <v>0</v>
      </c>
      <c r="I9" s="7">
        <f>G9+H9</f>
        <v>1236.7255999999998</v>
      </c>
      <c r="J9" s="15"/>
      <c r="K9" s="15"/>
      <c r="L9" s="15"/>
      <c r="M9" s="22"/>
      <c r="N9" s="22"/>
      <c r="O9" s="15"/>
      <c r="P9" s="15"/>
      <c r="Q9" s="15"/>
      <c r="R9" s="15"/>
      <c r="S9" s="15"/>
    </row>
    <row r="10" spans="2:19" x14ac:dyDescent="0.2">
      <c r="B10" s="15"/>
      <c r="C10" s="14" t="s">
        <v>143</v>
      </c>
      <c r="D10" s="6" t="s">
        <v>61</v>
      </c>
      <c r="E10" s="108">
        <f>Acquirer!F118</f>
        <v>969.86567024999977</v>
      </c>
      <c r="F10" s="108">
        <f>Target!F118</f>
        <v>460.22832</v>
      </c>
      <c r="G10" s="9">
        <f>E10+F10</f>
        <v>1430.0939902499997</v>
      </c>
      <c r="H10" s="10">
        <v>0</v>
      </c>
      <c r="I10" s="7">
        <f>G10+H10</f>
        <v>1430.0939902499997</v>
      </c>
      <c r="J10" s="15"/>
      <c r="K10" s="15"/>
      <c r="L10" s="15"/>
      <c r="M10" s="22"/>
      <c r="N10" s="22"/>
      <c r="O10" s="15"/>
      <c r="P10" s="15"/>
      <c r="Q10" s="15"/>
      <c r="R10" s="15"/>
      <c r="S10" s="15"/>
    </row>
    <row r="11" spans="2:19" x14ac:dyDescent="0.2">
      <c r="B11" s="15"/>
      <c r="C11" s="5" t="s">
        <v>144</v>
      </c>
      <c r="D11" s="6" t="s">
        <v>61</v>
      </c>
      <c r="E11" s="59">
        <f>SUM(E8:E10)</f>
        <v>2157.063687250863</v>
      </c>
      <c r="F11" s="59">
        <f>SUM(F8:F10)</f>
        <v>1092.180991749947</v>
      </c>
      <c r="G11" s="59">
        <f>SUM(G8:G10)</f>
        <v>3249.2446790008098</v>
      </c>
      <c r="H11" s="59">
        <f>SUM(H8:H10)</f>
        <v>-49.112400000000001</v>
      </c>
      <c r="I11" s="59">
        <f>SUM(I8:I10)</f>
        <v>3200.1322790008098</v>
      </c>
      <c r="J11" s="15"/>
      <c r="K11" s="15"/>
      <c r="L11" s="15"/>
      <c r="M11" s="22"/>
      <c r="N11" s="22"/>
      <c r="O11" s="15"/>
      <c r="P11" s="15"/>
      <c r="Q11" s="15"/>
      <c r="R11" s="15"/>
      <c r="S11" s="15"/>
    </row>
    <row r="12" spans="2:19" x14ac:dyDescent="0.2">
      <c r="B12" s="15"/>
      <c r="C12" s="15"/>
      <c r="D12" s="15"/>
      <c r="E12" s="15"/>
      <c r="F12" s="15"/>
      <c r="G12" s="15"/>
      <c r="H12" s="15"/>
      <c r="I12" s="15"/>
      <c r="J12" s="15"/>
      <c r="K12" s="15"/>
      <c r="L12" s="15"/>
      <c r="M12" s="22"/>
      <c r="N12" s="22"/>
      <c r="O12" s="15"/>
      <c r="P12" s="15"/>
      <c r="Q12" s="15"/>
      <c r="R12" s="15"/>
      <c r="S12" s="15"/>
    </row>
    <row r="13" spans="2:19" x14ac:dyDescent="0.2">
      <c r="B13" s="15"/>
      <c r="C13" s="14" t="s">
        <v>145</v>
      </c>
      <c r="D13" s="6" t="s">
        <v>61</v>
      </c>
      <c r="E13" s="108">
        <f>Acquirer!F121</f>
        <v>590.02380500000004</v>
      </c>
      <c r="F13" s="108">
        <f>Target!F121</f>
        <v>280.6259</v>
      </c>
      <c r="G13" s="9">
        <f>E13+F13</f>
        <v>870.64970500000004</v>
      </c>
      <c r="H13" s="9">
        <f>Merger_Model!K75</f>
        <v>42.093885</v>
      </c>
      <c r="I13" s="7">
        <f>G13+H13</f>
        <v>912.74359000000004</v>
      </c>
      <c r="J13" s="15"/>
      <c r="K13" s="15"/>
      <c r="L13" s="15"/>
      <c r="M13" s="22" t="s">
        <v>525</v>
      </c>
      <c r="N13" s="22"/>
      <c r="O13" s="15"/>
      <c r="P13" s="15"/>
      <c r="Q13" s="15"/>
      <c r="R13" s="15"/>
      <c r="S13" s="15"/>
    </row>
    <row r="14" spans="2:19" x14ac:dyDescent="0.2">
      <c r="B14" s="15"/>
      <c r="C14" s="14" t="s">
        <v>146</v>
      </c>
      <c r="D14" s="6" t="s">
        <v>61</v>
      </c>
      <c r="E14" s="108">
        <f>Acquirer!F122</f>
        <v>251.44894272330004</v>
      </c>
      <c r="F14" s="108">
        <f>Target!F122</f>
        <v>84.088941263999999</v>
      </c>
      <c r="G14" s="9">
        <f>E14+F14</f>
        <v>335.53788398730001</v>
      </c>
      <c r="H14" s="10">
        <v>0</v>
      </c>
      <c r="I14" s="7">
        <f>G14+H14</f>
        <v>335.53788398730001</v>
      </c>
      <c r="J14" s="15"/>
      <c r="K14" s="15"/>
      <c r="L14" s="15"/>
      <c r="M14" s="22"/>
      <c r="N14" s="22"/>
      <c r="O14" s="15"/>
      <c r="P14" s="15"/>
      <c r="Q14" s="15"/>
      <c r="R14" s="15"/>
      <c r="S14" s="15"/>
    </row>
    <row r="15" spans="2:19" x14ac:dyDescent="0.2">
      <c r="B15" s="15"/>
      <c r="C15" s="14" t="s">
        <v>147</v>
      </c>
      <c r="D15" s="6" t="s">
        <v>61</v>
      </c>
      <c r="E15" s="108">
        <f>Acquirer!F123</f>
        <v>1120</v>
      </c>
      <c r="F15" s="108">
        <f>Target!F123</f>
        <v>470</v>
      </c>
      <c r="G15" s="9">
        <f>E15+F15</f>
        <v>1590</v>
      </c>
      <c r="H15" s="9">
        <f>-Target!F123+Merger_Model!E83</f>
        <v>1233.7025275120532</v>
      </c>
      <c r="I15" s="7">
        <f>G15+H15</f>
        <v>2823.7025275120532</v>
      </c>
      <c r="J15" s="15"/>
      <c r="K15" s="15"/>
      <c r="L15" s="15"/>
      <c r="M15" s="22" t="s">
        <v>526</v>
      </c>
      <c r="N15" s="22"/>
      <c r="O15" s="15"/>
      <c r="P15" s="15"/>
      <c r="Q15" s="15"/>
      <c r="R15" s="15"/>
      <c r="S15" s="15"/>
    </row>
    <row r="16" spans="2:19" x14ac:dyDescent="0.2">
      <c r="B16" s="15"/>
      <c r="C16" s="14" t="s">
        <v>148</v>
      </c>
      <c r="D16" s="6" t="s">
        <v>61</v>
      </c>
      <c r="E16" s="108">
        <f>Acquirer!F124</f>
        <v>237.928585</v>
      </c>
      <c r="F16" s="108">
        <f>Target!F124</f>
        <v>188.47815</v>
      </c>
      <c r="G16" s="9">
        <f>E16+F16</f>
        <v>426.40673500000003</v>
      </c>
      <c r="H16" s="9">
        <f>Merger_Model!K84</f>
        <v>377.69760000000002</v>
      </c>
      <c r="I16" s="7">
        <f>G16+H16</f>
        <v>804.10433499999999</v>
      </c>
      <c r="J16" s="15"/>
      <c r="K16" s="15"/>
      <c r="L16" s="15"/>
      <c r="M16" s="22" t="s">
        <v>527</v>
      </c>
      <c r="N16" s="22"/>
      <c r="O16" s="15"/>
      <c r="P16" s="15"/>
      <c r="Q16" s="15"/>
      <c r="R16" s="15"/>
      <c r="S16" s="15"/>
    </row>
    <row r="17" spans="2:19" x14ac:dyDescent="0.2">
      <c r="B17" s="15"/>
      <c r="C17" s="14" t="s">
        <v>149</v>
      </c>
      <c r="D17" s="6" t="s">
        <v>61</v>
      </c>
      <c r="E17" s="108">
        <f>Acquirer!F125</f>
        <v>48</v>
      </c>
      <c r="F17" s="108">
        <f>Target!F125</f>
        <v>26</v>
      </c>
      <c r="G17" s="9">
        <f>E17+F17</f>
        <v>74</v>
      </c>
      <c r="H17" s="10">
        <v>0</v>
      </c>
      <c r="I17" s="7">
        <f>G17+H17</f>
        <v>74</v>
      </c>
      <c r="J17" s="15"/>
      <c r="K17" s="15"/>
      <c r="L17" s="15"/>
      <c r="M17" s="22"/>
      <c r="N17" s="22"/>
      <c r="O17" s="15"/>
      <c r="P17" s="15"/>
      <c r="Q17" s="15"/>
      <c r="R17" s="15"/>
      <c r="S17" s="15"/>
    </row>
    <row r="18" spans="2:19" x14ac:dyDescent="0.2">
      <c r="B18" s="15"/>
      <c r="C18" s="5" t="s">
        <v>150</v>
      </c>
      <c r="D18" s="6" t="s">
        <v>61</v>
      </c>
      <c r="E18" s="59">
        <f>SUM(E13:E17)</f>
        <v>2247.4013327233001</v>
      </c>
      <c r="F18" s="59">
        <f>SUM(F13:F17)</f>
        <v>1049.1929912640001</v>
      </c>
      <c r="G18" s="59">
        <f>SUM(G13:G17)</f>
        <v>3296.5943239873</v>
      </c>
      <c r="H18" s="59">
        <f>SUM(H13:H17)</f>
        <v>1653.4940125120531</v>
      </c>
      <c r="I18" s="59">
        <f>SUM(I13:I17)</f>
        <v>4950.0883364993533</v>
      </c>
      <c r="J18" s="15"/>
      <c r="K18" s="15"/>
      <c r="L18" s="15"/>
      <c r="M18" s="22"/>
      <c r="N18" s="22"/>
      <c r="O18" s="15"/>
      <c r="P18" s="15"/>
      <c r="Q18" s="15"/>
      <c r="R18" s="15"/>
      <c r="S18" s="15"/>
    </row>
    <row r="19" spans="2:19" x14ac:dyDescent="0.2">
      <c r="B19" s="15"/>
      <c r="C19" s="15"/>
      <c r="D19" s="15"/>
      <c r="E19" s="15"/>
      <c r="F19" s="15"/>
      <c r="G19" s="15"/>
      <c r="H19" s="15"/>
      <c r="I19" s="15"/>
      <c r="J19" s="15"/>
      <c r="K19" s="15"/>
      <c r="L19" s="15"/>
      <c r="M19" s="22"/>
      <c r="N19" s="22"/>
      <c r="O19" s="15"/>
      <c r="P19" s="15"/>
      <c r="Q19" s="15"/>
      <c r="R19" s="15"/>
      <c r="S19" s="15"/>
    </row>
    <row r="20" spans="2:19" ht="17" thickBot="1" x14ac:dyDescent="0.25">
      <c r="B20" s="15"/>
      <c r="C20" s="5" t="s">
        <v>151</v>
      </c>
      <c r="D20" s="6" t="s">
        <v>61</v>
      </c>
      <c r="E20" s="11">
        <f>E11+E18</f>
        <v>4404.4650199741627</v>
      </c>
      <c r="F20" s="11">
        <f>F11+F18</f>
        <v>2141.3739830139471</v>
      </c>
      <c r="G20" s="11">
        <f>G11+G18</f>
        <v>6545.8390029881102</v>
      </c>
      <c r="H20" s="11">
        <f>H11+H18</f>
        <v>1604.3816125120532</v>
      </c>
      <c r="I20" s="11">
        <f>I11+I18</f>
        <v>8150.2206155001631</v>
      </c>
      <c r="J20" s="15"/>
      <c r="K20" s="15"/>
      <c r="L20" s="15"/>
      <c r="M20" s="22"/>
      <c r="N20" s="22"/>
      <c r="O20" s="15"/>
      <c r="P20" s="15"/>
      <c r="Q20" s="15"/>
      <c r="R20" s="15"/>
      <c r="S20" s="15"/>
    </row>
    <row r="21" spans="2:19" ht="17" thickTop="1" x14ac:dyDescent="0.2">
      <c r="B21" s="15"/>
      <c r="C21" s="15"/>
      <c r="D21" s="15"/>
      <c r="E21" s="15"/>
      <c r="F21" s="15"/>
      <c r="G21" s="15"/>
      <c r="H21" s="15"/>
      <c r="I21" s="15"/>
      <c r="J21" s="15"/>
      <c r="K21" s="15"/>
      <c r="L21" s="15"/>
      <c r="M21" s="22"/>
      <c r="N21" s="22"/>
      <c r="O21" s="15"/>
      <c r="P21" s="15"/>
      <c r="Q21" s="15"/>
      <c r="R21" s="15"/>
      <c r="S21" s="15"/>
    </row>
    <row r="22" spans="2:19" x14ac:dyDescent="0.2">
      <c r="B22" s="15"/>
      <c r="C22" s="58" t="s">
        <v>152</v>
      </c>
      <c r="D22" s="15"/>
      <c r="E22" s="15"/>
      <c r="F22" s="15"/>
      <c r="G22" s="15"/>
      <c r="H22" s="15"/>
      <c r="I22" s="15"/>
      <c r="J22" s="15"/>
      <c r="K22" s="15"/>
      <c r="L22" s="15"/>
      <c r="M22" s="22"/>
      <c r="N22" s="22"/>
      <c r="O22" s="15"/>
      <c r="P22" s="15"/>
      <c r="Q22" s="15"/>
      <c r="R22" s="15"/>
      <c r="S22" s="15"/>
    </row>
    <row r="23" spans="2:19" x14ac:dyDescent="0.2">
      <c r="B23" s="15"/>
      <c r="C23" s="14" t="s">
        <v>38</v>
      </c>
      <c r="D23" s="6" t="s">
        <v>61</v>
      </c>
      <c r="E23" s="108">
        <f>Acquirer!F131</f>
        <v>643.42307879999998</v>
      </c>
      <c r="F23" s="108">
        <f>Target!F131</f>
        <v>239.70224999999999</v>
      </c>
      <c r="G23" s="9">
        <f>E23+F23</f>
        <v>883.12532880000003</v>
      </c>
      <c r="H23" s="10">
        <v>0</v>
      </c>
      <c r="I23" s="7">
        <f>G23+H23</f>
        <v>883.12532880000003</v>
      </c>
      <c r="J23" s="15"/>
      <c r="K23" s="15"/>
      <c r="L23" s="15"/>
      <c r="M23" s="22"/>
      <c r="N23" s="22"/>
      <c r="O23" s="15"/>
      <c r="P23" s="15"/>
      <c r="Q23" s="15"/>
      <c r="R23" s="15"/>
      <c r="S23" s="15"/>
    </row>
    <row r="24" spans="2:19" x14ac:dyDescent="0.2">
      <c r="B24" s="15"/>
      <c r="C24" s="14" t="s">
        <v>39</v>
      </c>
      <c r="D24" s="6" t="s">
        <v>61</v>
      </c>
      <c r="E24" s="108">
        <f>Acquirer!F132</f>
        <v>291.25360161000003</v>
      </c>
      <c r="F24" s="108">
        <f>Target!F132</f>
        <v>123.79760797200002</v>
      </c>
      <c r="G24" s="9">
        <f>E24+F24</f>
        <v>415.05120958200007</v>
      </c>
      <c r="H24" s="10">
        <v>0</v>
      </c>
      <c r="I24" s="7">
        <f>G24+H24</f>
        <v>415.05120958200007</v>
      </c>
      <c r="J24" s="15"/>
      <c r="K24" s="15"/>
      <c r="L24" s="15"/>
      <c r="M24" s="22"/>
      <c r="N24" s="22"/>
      <c r="O24" s="15"/>
      <c r="P24" s="15"/>
      <c r="Q24" s="15"/>
      <c r="R24" s="15"/>
      <c r="S24" s="15"/>
    </row>
    <row r="25" spans="2:19" x14ac:dyDescent="0.2">
      <c r="B25" s="15"/>
      <c r="C25" s="5" t="s">
        <v>153</v>
      </c>
      <c r="D25" s="6" t="s">
        <v>61</v>
      </c>
      <c r="E25" s="59">
        <f>SUM(E23:E24)</f>
        <v>934.67668041000002</v>
      </c>
      <c r="F25" s="59">
        <f>SUM(F23:F24)</f>
        <v>363.49985797200003</v>
      </c>
      <c r="G25" s="59">
        <f>SUM(G23:G24)</f>
        <v>1298.1765383820002</v>
      </c>
      <c r="H25" s="59">
        <f>SUM(H23:H24)</f>
        <v>0</v>
      </c>
      <c r="I25" s="59">
        <f>SUM(I23:I24)</f>
        <v>1298.1765383820002</v>
      </c>
      <c r="J25" s="15"/>
      <c r="K25" s="15"/>
      <c r="L25" s="15"/>
      <c r="M25" s="22"/>
      <c r="N25" s="22"/>
      <c r="O25" s="15"/>
      <c r="P25" s="15"/>
      <c r="Q25" s="15"/>
      <c r="R25" s="15"/>
      <c r="S25" s="15"/>
    </row>
    <row r="26" spans="2:19" x14ac:dyDescent="0.2">
      <c r="B26" s="15"/>
      <c r="C26" s="15"/>
      <c r="D26" s="15"/>
      <c r="E26" s="15"/>
      <c r="F26" s="15"/>
      <c r="G26" s="15"/>
      <c r="H26" s="15"/>
      <c r="I26" s="15"/>
      <c r="J26" s="15"/>
      <c r="K26" s="15"/>
      <c r="L26" s="15"/>
      <c r="M26" s="22"/>
      <c r="N26" s="22"/>
      <c r="O26" s="15"/>
      <c r="P26" s="15"/>
      <c r="Q26" s="15"/>
      <c r="R26" s="15"/>
      <c r="S26" s="15"/>
    </row>
    <row r="27" spans="2:19" x14ac:dyDescent="0.2">
      <c r="B27" s="15"/>
      <c r="C27" s="14" t="s">
        <v>528</v>
      </c>
      <c r="D27" s="6" t="s">
        <v>61</v>
      </c>
      <c r="E27" s="108">
        <f>Acquirer!F135</f>
        <v>1534.2</v>
      </c>
      <c r="F27" s="108">
        <f>Target!F135</f>
        <v>506.7</v>
      </c>
      <c r="G27" s="9">
        <f>E27+F27</f>
        <v>2040.9</v>
      </c>
      <c r="H27" s="9">
        <f>-Merger_Model!E21*Merger_Model!E45</f>
        <v>-10.134</v>
      </c>
      <c r="I27" s="7">
        <f>G27+H27</f>
        <v>2030.7660000000001</v>
      </c>
      <c r="J27" s="15"/>
      <c r="K27" s="15"/>
      <c r="L27" s="15"/>
      <c r="M27" s="22" t="s">
        <v>529</v>
      </c>
      <c r="N27" s="22"/>
      <c r="O27" s="15"/>
      <c r="P27" s="15"/>
      <c r="Q27" s="15"/>
      <c r="R27" s="15"/>
      <c r="S27" s="15"/>
    </row>
    <row r="28" spans="2:19" x14ac:dyDescent="0.2">
      <c r="B28" s="15"/>
      <c r="C28" s="14" t="s">
        <v>530</v>
      </c>
      <c r="D28" s="6" t="s">
        <v>61</v>
      </c>
      <c r="E28" s="10">
        <v>0</v>
      </c>
      <c r="F28" s="10">
        <v>0</v>
      </c>
      <c r="G28" s="9">
        <f>E28+F28</f>
        <v>0</v>
      </c>
      <c r="H28" s="9">
        <f>Merger_Model!$E$50-Merger_Model!E50*Merger_Model!$E$45</f>
        <v>0</v>
      </c>
      <c r="I28" s="7">
        <f>G28+H28</f>
        <v>0</v>
      </c>
      <c r="J28" s="15"/>
      <c r="K28" s="15"/>
      <c r="L28" s="15"/>
      <c r="M28" s="22" t="s">
        <v>531</v>
      </c>
      <c r="N28" s="22"/>
      <c r="O28" s="15"/>
      <c r="P28" s="15"/>
      <c r="Q28" s="15"/>
      <c r="R28" s="15"/>
      <c r="S28" s="15"/>
    </row>
    <row r="29" spans="2:19" x14ac:dyDescent="0.2">
      <c r="B29" s="15"/>
      <c r="C29" s="14" t="s">
        <v>40</v>
      </c>
      <c r="D29" s="6" t="s">
        <v>61</v>
      </c>
      <c r="E29" s="108">
        <f>Acquirer!F136</f>
        <v>251.44894272330004</v>
      </c>
      <c r="F29" s="108">
        <f>Target!F136</f>
        <v>84.088941263999999</v>
      </c>
      <c r="G29" s="9">
        <f>E29+F29</f>
        <v>335.53788398730001</v>
      </c>
      <c r="H29" s="10">
        <v>0</v>
      </c>
      <c r="I29" s="7">
        <f>G29+H29</f>
        <v>335.53788398730001</v>
      </c>
      <c r="J29" s="15"/>
      <c r="K29" s="15"/>
      <c r="L29" s="15"/>
      <c r="M29" s="22"/>
      <c r="N29" s="22"/>
      <c r="O29" s="15"/>
      <c r="P29" s="15"/>
      <c r="Q29" s="15"/>
      <c r="R29" s="15"/>
      <c r="S29" s="15"/>
    </row>
    <row r="30" spans="2:19" x14ac:dyDescent="0.2">
      <c r="B30" s="15"/>
      <c r="C30" s="14" t="s">
        <v>155</v>
      </c>
      <c r="D30" s="6" t="s">
        <v>61</v>
      </c>
      <c r="E30" s="108">
        <f>Acquirer!F137</f>
        <v>74.83246075832767</v>
      </c>
      <c r="F30" s="108">
        <f>Target!F137</f>
        <v>12.53762378027854</v>
      </c>
      <c r="G30" s="9">
        <f>E30+F30</f>
        <v>87.370084538606207</v>
      </c>
      <c r="H30" s="9">
        <f>-Target!F137+Merger_Model!K86</f>
        <v>88.212332619721465</v>
      </c>
      <c r="I30" s="7">
        <f>G30+H30</f>
        <v>175.58241715832767</v>
      </c>
      <c r="J30" s="15"/>
      <c r="K30" s="15"/>
      <c r="L30" s="15"/>
      <c r="M30" s="22" t="s">
        <v>532</v>
      </c>
      <c r="N30" s="22"/>
      <c r="O30" s="15"/>
      <c r="P30" s="15"/>
      <c r="Q30" s="15"/>
      <c r="R30" s="15"/>
      <c r="S30" s="15"/>
    </row>
    <row r="31" spans="2:19" x14ac:dyDescent="0.2">
      <c r="B31" s="15"/>
      <c r="C31" s="14" t="s">
        <v>156</v>
      </c>
      <c r="D31" s="6" t="s">
        <v>61</v>
      </c>
      <c r="E31" s="108">
        <f>Acquirer!F138</f>
        <v>88.024944959999601</v>
      </c>
      <c r="F31" s="108">
        <f>Target!F138</f>
        <v>41.98923989</v>
      </c>
      <c r="G31" s="9">
        <f>E31+F31</f>
        <v>130.01418484999959</v>
      </c>
      <c r="H31" s="10">
        <v>0</v>
      </c>
      <c r="I31" s="7">
        <f>G31+H31</f>
        <v>130.01418484999959</v>
      </c>
      <c r="J31" s="15"/>
      <c r="K31" s="15"/>
      <c r="L31" s="15"/>
      <c r="M31" s="22"/>
      <c r="N31" s="22"/>
      <c r="O31" s="15"/>
      <c r="P31" s="15"/>
      <c r="Q31" s="15"/>
      <c r="R31" s="15"/>
      <c r="S31" s="15"/>
    </row>
    <row r="32" spans="2:19" x14ac:dyDescent="0.2">
      <c r="B32" s="15"/>
      <c r="C32" s="5" t="s">
        <v>157</v>
      </c>
      <c r="D32" s="6" t="s">
        <v>61</v>
      </c>
      <c r="E32" s="59">
        <f>SUM(E27:E31)</f>
        <v>1948.5063484416273</v>
      </c>
      <c r="F32" s="59">
        <f>SUM(F27:F31)</f>
        <v>645.3158049342785</v>
      </c>
      <c r="G32" s="59">
        <f>SUM(G27:G31)</f>
        <v>2593.8221533759061</v>
      </c>
      <c r="H32" s="59">
        <f>SUM(H27:H31)</f>
        <v>78.078332619721465</v>
      </c>
      <c r="I32" s="59">
        <f>SUM(I27:I31)</f>
        <v>2671.9004859956276</v>
      </c>
      <c r="J32" s="15"/>
      <c r="K32" s="15"/>
      <c r="L32" s="15"/>
      <c r="M32" s="22"/>
      <c r="N32" s="22"/>
      <c r="O32" s="15"/>
      <c r="P32" s="15"/>
      <c r="Q32" s="15"/>
      <c r="R32" s="15"/>
      <c r="S32" s="15"/>
    </row>
    <row r="33" spans="2:19" x14ac:dyDescent="0.2">
      <c r="B33" s="15"/>
      <c r="C33" s="15"/>
      <c r="D33" s="15"/>
      <c r="E33" s="15"/>
      <c r="F33" s="15"/>
      <c r="G33" s="15"/>
      <c r="H33" s="15"/>
      <c r="I33" s="15"/>
      <c r="J33" s="15"/>
      <c r="K33" s="15"/>
      <c r="L33" s="15"/>
      <c r="M33" s="22"/>
      <c r="N33" s="22"/>
      <c r="O33" s="15"/>
      <c r="P33" s="15"/>
      <c r="Q33" s="15"/>
      <c r="R33" s="15"/>
      <c r="S33" s="15"/>
    </row>
    <row r="34" spans="2:19" x14ac:dyDescent="0.2">
      <c r="B34" s="15"/>
      <c r="C34" s="5" t="s">
        <v>158</v>
      </c>
      <c r="D34" s="6" t="s">
        <v>61</v>
      </c>
      <c r="E34" s="7">
        <f>E25+E32</f>
        <v>2883.1830288516276</v>
      </c>
      <c r="F34" s="7">
        <f>F25+F32</f>
        <v>1008.8156629062785</v>
      </c>
      <c r="G34" s="7">
        <f>G25+G32</f>
        <v>3891.9986917579063</v>
      </c>
      <c r="H34" s="7">
        <f>H25+H32</f>
        <v>78.078332619721465</v>
      </c>
      <c r="I34" s="7">
        <f>I25+I32</f>
        <v>3970.0770243776278</v>
      </c>
      <c r="J34" s="15"/>
      <c r="K34" s="15"/>
      <c r="L34" s="15"/>
      <c r="M34" s="22"/>
      <c r="N34" s="22"/>
      <c r="O34" s="15"/>
      <c r="P34" s="15"/>
      <c r="Q34" s="15"/>
      <c r="R34" s="15"/>
      <c r="S34" s="15"/>
    </row>
    <row r="35" spans="2:19" x14ac:dyDescent="0.2">
      <c r="B35" s="15"/>
      <c r="C35" s="15"/>
      <c r="D35" s="15"/>
      <c r="E35" s="15"/>
      <c r="F35" s="15"/>
      <c r="G35" s="15"/>
      <c r="H35" s="15"/>
      <c r="I35" s="15"/>
      <c r="J35" s="15"/>
      <c r="K35" s="15"/>
      <c r="L35" s="15"/>
      <c r="M35" s="22"/>
      <c r="N35" s="22"/>
      <c r="O35" s="15"/>
      <c r="P35" s="15"/>
      <c r="Q35" s="15"/>
      <c r="R35" s="15"/>
      <c r="S35" s="15"/>
    </row>
    <row r="36" spans="2:19" x14ac:dyDescent="0.2">
      <c r="B36" s="15"/>
      <c r="C36" s="5" t="s">
        <v>31</v>
      </c>
      <c r="D36" s="6" t="s">
        <v>61</v>
      </c>
      <c r="E36" s="108">
        <f>Acquirer!F143</f>
        <v>1521.2819911225358</v>
      </c>
      <c r="F36" s="108">
        <f>Target!F143</f>
        <v>1132.5583201076684</v>
      </c>
      <c r="G36" s="9">
        <f>E36+F36</f>
        <v>2653.840311230204</v>
      </c>
      <c r="H36" s="9">
        <f>-Target!F143+Merger_Model!E51-Merger_Model!E46-Merger_Model!E44*Merger_Model!E20</f>
        <v>1526.3032798923318</v>
      </c>
      <c r="I36" s="7">
        <f>G36+H36</f>
        <v>4180.1435911225362</v>
      </c>
      <c r="J36" s="15"/>
      <c r="K36" s="15"/>
      <c r="L36" s="15"/>
      <c r="M36" s="22" t="s">
        <v>533</v>
      </c>
      <c r="N36" s="22"/>
      <c r="O36" s="15"/>
      <c r="P36" s="15"/>
      <c r="Q36" s="15"/>
      <c r="R36" s="15"/>
      <c r="S36" s="15"/>
    </row>
    <row r="37" spans="2:19" x14ac:dyDescent="0.2">
      <c r="B37" s="15"/>
      <c r="C37" s="15"/>
      <c r="D37" s="15"/>
      <c r="E37" s="15"/>
      <c r="F37" s="15"/>
      <c r="G37" s="15"/>
      <c r="H37" s="15"/>
      <c r="I37" s="15"/>
      <c r="J37" s="15"/>
      <c r="K37" s="15"/>
      <c r="L37" s="15"/>
      <c r="M37" s="22"/>
      <c r="N37" s="22"/>
      <c r="O37" s="15"/>
      <c r="P37" s="15"/>
      <c r="Q37" s="15"/>
      <c r="R37" s="15"/>
      <c r="S37" s="15"/>
    </row>
    <row r="38" spans="2:19" ht="17" thickBot="1" x14ac:dyDescent="0.25">
      <c r="B38" s="15"/>
      <c r="C38" s="5" t="s">
        <v>159</v>
      </c>
      <c r="D38" s="6" t="s">
        <v>61</v>
      </c>
      <c r="E38" s="11">
        <f>E34+E36</f>
        <v>4404.4650199741636</v>
      </c>
      <c r="F38" s="11">
        <f>F34+F36</f>
        <v>2141.3739830139466</v>
      </c>
      <c r="G38" s="11">
        <f>G34+G36</f>
        <v>6545.8390029881102</v>
      </c>
      <c r="H38" s="11">
        <f>H34+H36</f>
        <v>1604.3816125120534</v>
      </c>
      <c r="I38" s="11">
        <f>I34+I36</f>
        <v>8150.2206155001641</v>
      </c>
      <c r="J38" s="15"/>
      <c r="K38" s="15"/>
      <c r="L38" s="15"/>
      <c r="M38" s="22"/>
      <c r="N38" s="22"/>
      <c r="O38" s="15"/>
      <c r="P38" s="15"/>
      <c r="Q38" s="15"/>
      <c r="R38" s="15"/>
      <c r="S38" s="15"/>
    </row>
    <row r="39" spans="2:19" ht="17" thickTop="1" x14ac:dyDescent="0.2">
      <c r="B39" s="15"/>
      <c r="C39" s="15"/>
      <c r="D39" s="15"/>
      <c r="E39" s="15"/>
      <c r="F39" s="15"/>
      <c r="G39" s="15"/>
      <c r="H39" s="15"/>
      <c r="I39" s="15"/>
      <c r="J39" s="15"/>
      <c r="K39" s="15"/>
      <c r="L39" s="15"/>
      <c r="M39" s="22"/>
      <c r="N39" s="22"/>
      <c r="O39" s="15"/>
      <c r="P39" s="15"/>
      <c r="Q39" s="15"/>
      <c r="R39" s="15"/>
      <c r="S39" s="15"/>
    </row>
    <row r="40" spans="2:19" x14ac:dyDescent="0.2">
      <c r="B40" s="15"/>
      <c r="C40" s="5" t="s">
        <v>160</v>
      </c>
      <c r="D40" s="6" t="s">
        <v>61</v>
      </c>
      <c r="E40" s="60">
        <f>ROUND(E20-E38,6)</f>
        <v>0</v>
      </c>
      <c r="F40" s="60">
        <f>ROUND(F20-F38,6)</f>
        <v>0</v>
      </c>
      <c r="G40" s="60">
        <f>ROUND(G20-G38,6)</f>
        <v>0</v>
      </c>
      <c r="H40" s="60">
        <f>ROUND(H20-H38,6)</f>
        <v>0</v>
      </c>
      <c r="I40" s="60">
        <f>ROUND(I20-I38,6)</f>
        <v>0</v>
      </c>
      <c r="J40" s="15"/>
      <c r="K40" s="15"/>
      <c r="L40" s="15"/>
      <c r="M40" s="22"/>
      <c r="N40" s="22"/>
      <c r="O40" s="15"/>
      <c r="P40" s="15"/>
      <c r="Q40" s="15"/>
      <c r="R40" s="15"/>
      <c r="S40" s="15"/>
    </row>
    <row r="41" spans="2:19" x14ac:dyDescent="0.2">
      <c r="B41" s="15"/>
      <c r="C41" s="15"/>
      <c r="D41" s="15"/>
      <c r="E41" s="15"/>
      <c r="F41" s="15"/>
      <c r="G41" s="15"/>
      <c r="H41" s="15"/>
      <c r="I41" s="15"/>
      <c r="J41" s="15"/>
      <c r="K41" s="15"/>
      <c r="L41" s="15"/>
      <c r="M41" s="22"/>
      <c r="N41" s="22"/>
      <c r="O41" s="15"/>
      <c r="P41" s="15"/>
      <c r="Q41" s="15"/>
      <c r="R41" s="15"/>
      <c r="S41" s="15"/>
    </row>
    <row r="42" spans="2:19" x14ac:dyDescent="0.2">
      <c r="M42" s="22"/>
      <c r="N42" s="22"/>
    </row>
    <row r="43" spans="2:19" x14ac:dyDescent="0.2">
      <c r="M43" s="22"/>
      <c r="N43" s="22"/>
    </row>
  </sheetData>
  <pageMargins left="0.7" right="0.7" top="0.75" bottom="0.75" header="0.3" footer="0.3"/>
  <ignoredErrors>
    <ignoredError sqref="H8 H13:H16 H27:H31 H3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26E04-6C7A-6D4D-820A-5F0A806D8669}">
  <dimension ref="B2:T126"/>
  <sheetViews>
    <sheetView showGridLines="0" workbookViewId="0">
      <selection activeCell="B5" sqref="B5:L5"/>
    </sheetView>
  </sheetViews>
  <sheetFormatPr baseColWidth="10" defaultRowHeight="16" x14ac:dyDescent="0.2"/>
  <cols>
    <col min="1" max="2" width="2.83203125" customWidth="1"/>
    <col min="3" max="3" width="47.5" customWidth="1"/>
    <col min="5" max="5" width="15.83203125" bestFit="1" customWidth="1"/>
    <col min="7" max="7" width="15.1640625" bestFit="1" customWidth="1"/>
  </cols>
  <sheetData>
    <row r="2" spans="2:20" ht="19" x14ac:dyDescent="0.2">
      <c r="B2" s="91" t="s">
        <v>639</v>
      </c>
      <c r="C2" s="15"/>
      <c r="D2" s="15"/>
      <c r="E2" s="15"/>
      <c r="F2" s="15"/>
      <c r="G2" s="15"/>
      <c r="H2" s="15"/>
      <c r="I2" s="15"/>
      <c r="J2" s="15"/>
      <c r="K2" s="15"/>
      <c r="L2" s="15"/>
      <c r="M2" s="15"/>
      <c r="N2" s="15"/>
      <c r="O2" s="15"/>
      <c r="P2" s="15"/>
      <c r="Q2" s="15"/>
      <c r="R2" s="15"/>
      <c r="S2" s="15"/>
      <c r="T2" s="15"/>
    </row>
    <row r="3" spans="2:20" x14ac:dyDescent="0.2">
      <c r="B3" s="22" t="s">
        <v>222</v>
      </c>
      <c r="C3" s="15"/>
      <c r="D3" s="15"/>
      <c r="E3" s="15"/>
      <c r="F3" s="15"/>
      <c r="G3" s="15"/>
      <c r="H3" s="15"/>
      <c r="I3" s="15"/>
      <c r="J3" s="15"/>
      <c r="K3" s="15"/>
      <c r="L3" s="15"/>
      <c r="M3" s="15"/>
      <c r="N3" s="15"/>
      <c r="O3" s="15"/>
      <c r="P3" s="15"/>
      <c r="Q3" s="15"/>
      <c r="R3" s="15"/>
      <c r="S3" s="15"/>
      <c r="T3" s="15"/>
    </row>
    <row r="4" spans="2:20" x14ac:dyDescent="0.2">
      <c r="B4" s="22" t="s">
        <v>553</v>
      </c>
      <c r="C4" s="15"/>
      <c r="D4" s="15"/>
      <c r="E4" s="15"/>
      <c r="F4" s="15"/>
      <c r="G4" s="15"/>
      <c r="H4" s="15"/>
      <c r="I4" s="15"/>
      <c r="J4" s="15"/>
      <c r="K4" s="15"/>
      <c r="L4" s="15"/>
      <c r="M4" s="15"/>
      <c r="N4" s="15"/>
      <c r="O4" s="15"/>
      <c r="P4" s="15"/>
      <c r="Q4" s="15"/>
      <c r="R4" s="15"/>
      <c r="S4" s="15"/>
      <c r="T4" s="15"/>
    </row>
    <row r="5" spans="2:20" x14ac:dyDescent="0.2">
      <c r="B5" s="19" t="s">
        <v>554</v>
      </c>
      <c r="C5" s="19"/>
      <c r="D5" s="20"/>
      <c r="E5" s="19"/>
      <c r="F5" s="19"/>
      <c r="G5" s="19"/>
      <c r="H5" s="19"/>
      <c r="I5" s="19"/>
      <c r="J5" s="19"/>
      <c r="K5" s="19"/>
      <c r="L5" s="19"/>
      <c r="M5" s="15"/>
      <c r="N5" s="15"/>
      <c r="O5" s="15"/>
      <c r="P5" s="15"/>
      <c r="Q5" s="15"/>
      <c r="R5" s="15"/>
      <c r="S5" s="15"/>
      <c r="T5" s="15"/>
    </row>
    <row r="6" spans="2:20" x14ac:dyDescent="0.2">
      <c r="B6" s="15"/>
      <c r="C6" s="15"/>
      <c r="D6" s="15"/>
      <c r="E6" s="15"/>
      <c r="F6" s="15"/>
      <c r="G6" s="15"/>
      <c r="H6" s="15"/>
      <c r="I6" s="15"/>
      <c r="J6" s="15"/>
      <c r="K6" s="15"/>
      <c r="L6" s="15"/>
      <c r="M6" s="15"/>
      <c r="N6" s="15"/>
      <c r="O6" s="15"/>
      <c r="P6" s="15"/>
      <c r="Q6" s="15"/>
      <c r="R6" s="15"/>
      <c r="S6" s="15"/>
      <c r="T6" s="15"/>
    </row>
    <row r="7" spans="2:20" x14ac:dyDescent="0.2">
      <c r="B7" s="15"/>
      <c r="C7" s="8" t="s">
        <v>555</v>
      </c>
      <c r="D7" s="15"/>
      <c r="E7" s="62">
        <f>WACC!E44</f>
        <v>0.10573577678206426</v>
      </c>
      <c r="F7" s="15"/>
      <c r="G7" s="15"/>
      <c r="H7" s="15"/>
      <c r="I7" s="15"/>
      <c r="J7" s="15"/>
      <c r="K7" s="15"/>
      <c r="L7" s="15"/>
      <c r="M7" s="15"/>
      <c r="N7" s="15"/>
      <c r="O7" s="15"/>
      <c r="P7" s="15"/>
      <c r="Q7" s="15"/>
      <c r="R7" s="22" t="s">
        <v>556</v>
      </c>
      <c r="S7" s="15"/>
      <c r="T7" s="15"/>
    </row>
    <row r="8" spans="2:20" x14ac:dyDescent="0.2">
      <c r="B8" s="15"/>
      <c r="C8" s="8" t="s">
        <v>557</v>
      </c>
      <c r="D8" s="15"/>
      <c r="E8" s="121">
        <v>1</v>
      </c>
      <c r="F8" s="15"/>
      <c r="G8" s="15"/>
      <c r="H8" s="15"/>
      <c r="I8" s="15"/>
      <c r="J8" s="15"/>
      <c r="K8" s="15"/>
      <c r="L8" s="15"/>
      <c r="M8" s="15"/>
      <c r="N8" s="15"/>
      <c r="O8" s="15"/>
      <c r="P8" s="15"/>
      <c r="Q8" s="15"/>
      <c r="R8" s="22" t="s">
        <v>558</v>
      </c>
      <c r="S8" s="15"/>
      <c r="T8" s="15"/>
    </row>
    <row r="9" spans="2:20" x14ac:dyDescent="0.2">
      <c r="B9" s="15"/>
      <c r="C9" s="8" t="s">
        <v>559</v>
      </c>
      <c r="D9" s="15"/>
      <c r="E9" s="115">
        <v>2.2499999999999999E-2</v>
      </c>
      <c r="F9" s="15"/>
      <c r="G9" s="15"/>
      <c r="H9" s="15"/>
      <c r="I9" s="15"/>
      <c r="J9" s="15"/>
      <c r="K9" s="15"/>
      <c r="L9" s="15"/>
      <c r="M9" s="15"/>
      <c r="N9" s="15"/>
      <c r="O9" s="15"/>
      <c r="P9" s="15"/>
      <c r="Q9" s="15"/>
      <c r="R9" s="22" t="s">
        <v>560</v>
      </c>
      <c r="S9" s="15"/>
      <c r="T9" s="15"/>
    </row>
    <row r="10" spans="2:20" x14ac:dyDescent="0.2">
      <c r="B10" s="15"/>
      <c r="C10" s="8" t="s">
        <v>561</v>
      </c>
      <c r="D10" s="15"/>
      <c r="E10" s="125">
        <v>8.5</v>
      </c>
      <c r="F10" s="15"/>
      <c r="G10" s="15"/>
      <c r="H10" s="15"/>
      <c r="I10" s="15"/>
      <c r="J10" s="15"/>
      <c r="K10" s="15"/>
      <c r="L10" s="15"/>
      <c r="M10" s="15"/>
      <c r="N10" s="15"/>
      <c r="O10" s="15"/>
      <c r="P10" s="15"/>
      <c r="Q10" s="15"/>
      <c r="R10" s="22" t="s">
        <v>562</v>
      </c>
      <c r="S10" s="15"/>
      <c r="T10" s="15"/>
    </row>
    <row r="11" spans="2:20" x14ac:dyDescent="0.2">
      <c r="B11" s="15"/>
      <c r="C11" s="8" t="s">
        <v>563</v>
      </c>
      <c r="D11" s="15"/>
      <c r="E11" s="121">
        <v>9</v>
      </c>
      <c r="F11" s="15"/>
      <c r="G11" s="15"/>
      <c r="H11" s="15"/>
      <c r="I11" s="15"/>
      <c r="J11" s="15"/>
      <c r="K11" s="15"/>
      <c r="L11" s="15"/>
      <c r="M11" s="15"/>
      <c r="N11" s="15"/>
      <c r="O11" s="15"/>
      <c r="P11" s="15"/>
      <c r="Q11" s="15"/>
      <c r="R11" s="22" t="s">
        <v>564</v>
      </c>
      <c r="S11" s="15"/>
      <c r="T11" s="15"/>
    </row>
    <row r="12" spans="2:20" x14ac:dyDescent="0.2">
      <c r="B12" s="15"/>
      <c r="C12" s="15"/>
      <c r="D12" s="15"/>
      <c r="E12" s="15"/>
      <c r="F12" s="15"/>
      <c r="G12" s="15"/>
      <c r="H12" s="15"/>
      <c r="I12" s="15"/>
      <c r="J12" s="15"/>
      <c r="K12" s="15"/>
      <c r="L12" s="15"/>
      <c r="M12" s="15"/>
      <c r="N12" s="15"/>
      <c r="O12" s="15"/>
      <c r="P12" s="15"/>
      <c r="Q12" s="15"/>
      <c r="R12" s="22"/>
      <c r="S12" s="15"/>
      <c r="T12" s="15"/>
    </row>
    <row r="13" spans="2:20" x14ac:dyDescent="0.2">
      <c r="B13" s="15"/>
      <c r="C13" s="15"/>
      <c r="D13" s="15"/>
      <c r="E13" s="15"/>
      <c r="F13" s="15"/>
      <c r="G13" s="15"/>
      <c r="H13" s="15"/>
      <c r="I13" s="15"/>
      <c r="J13" s="15"/>
      <c r="K13" s="15"/>
      <c r="L13" s="15"/>
      <c r="M13" s="15"/>
      <c r="N13" s="15"/>
      <c r="O13" s="15"/>
      <c r="P13" s="15"/>
      <c r="Q13" s="15"/>
      <c r="R13" s="22"/>
      <c r="S13" s="15"/>
      <c r="T13" s="15"/>
    </row>
    <row r="14" spans="2:20" x14ac:dyDescent="0.2">
      <c r="B14" s="15"/>
      <c r="C14" s="15"/>
      <c r="D14" s="15"/>
      <c r="E14" s="102" t="s">
        <v>565</v>
      </c>
      <c r="F14" s="15"/>
      <c r="G14" s="102" t="s">
        <v>566</v>
      </c>
      <c r="H14" s="15"/>
      <c r="I14" s="15"/>
      <c r="J14" s="15"/>
      <c r="K14" s="15"/>
      <c r="L14" s="15"/>
      <c r="M14" s="15"/>
      <c r="N14" s="15"/>
      <c r="O14" s="15"/>
      <c r="P14" s="15"/>
      <c r="Q14" s="15"/>
      <c r="R14" s="22"/>
      <c r="S14" s="15"/>
      <c r="T14" s="15"/>
    </row>
    <row r="15" spans="2:20" x14ac:dyDescent="0.2">
      <c r="B15" s="15"/>
      <c r="C15" s="8" t="s">
        <v>567</v>
      </c>
      <c r="D15" s="15"/>
      <c r="E15" s="9">
        <f>SUM(G54:P54)</f>
        <v>1479.336116227907</v>
      </c>
      <c r="F15" s="15"/>
      <c r="G15" s="9">
        <f>E15</f>
        <v>1479.336116227907</v>
      </c>
      <c r="H15" s="15"/>
      <c r="I15" s="15"/>
      <c r="J15" s="15"/>
      <c r="K15" s="15"/>
      <c r="L15" s="15"/>
      <c r="M15" s="15"/>
      <c r="N15" s="15"/>
      <c r="O15" s="15"/>
      <c r="P15" s="15"/>
      <c r="Q15" s="15"/>
      <c r="R15" s="22"/>
      <c r="S15" s="15"/>
      <c r="T15" s="15"/>
    </row>
    <row r="16" spans="2:20" x14ac:dyDescent="0.2">
      <c r="B16" s="15"/>
      <c r="C16" s="8" t="s">
        <v>568</v>
      </c>
      <c r="D16" s="15"/>
      <c r="E16" s="9">
        <f>P49*(1+$E$9)/($E$7-$E$9)</f>
        <v>3598.8465303581534</v>
      </c>
      <c r="F16" s="15"/>
      <c r="G16" s="9">
        <f>$E$10*P56</f>
        <v>4147.3936361063215</v>
      </c>
      <c r="H16" s="15"/>
      <c r="I16" s="15"/>
      <c r="J16" s="15"/>
      <c r="K16" s="15"/>
      <c r="L16" s="15"/>
      <c r="M16" s="15"/>
      <c r="N16" s="15"/>
      <c r="O16" s="15"/>
      <c r="P16" s="15"/>
      <c r="Q16" s="15"/>
      <c r="R16" s="22" t="s">
        <v>569</v>
      </c>
      <c r="S16" s="15"/>
      <c r="T16" s="15"/>
    </row>
    <row r="17" spans="2:20" x14ac:dyDescent="0.2">
      <c r="B17" s="15"/>
      <c r="C17" s="8" t="s">
        <v>570</v>
      </c>
      <c r="D17" s="15"/>
      <c r="E17" s="9">
        <f>E16/(1+$E$7)^$E$11</f>
        <v>1456.4684175328568</v>
      </c>
      <c r="F17" s="15"/>
      <c r="G17" s="9">
        <f>G16/(1+$E$7)^$E$11</f>
        <v>1678.4677521284761</v>
      </c>
      <c r="H17" s="15"/>
      <c r="I17" s="15"/>
      <c r="J17" s="15"/>
      <c r="K17" s="15"/>
      <c r="L17" s="15"/>
      <c r="M17" s="15"/>
      <c r="N17" s="15"/>
      <c r="O17" s="15"/>
      <c r="P17" s="15"/>
      <c r="Q17" s="15"/>
      <c r="R17" s="22"/>
      <c r="S17" s="15"/>
      <c r="T17" s="15"/>
    </row>
    <row r="18" spans="2:20" x14ac:dyDescent="0.2">
      <c r="B18" s="15"/>
      <c r="C18" s="5" t="s">
        <v>571</v>
      </c>
      <c r="D18" s="15"/>
      <c r="E18" s="7">
        <f>E15+E17</f>
        <v>2935.8045337607637</v>
      </c>
      <c r="F18" s="15"/>
      <c r="G18" s="7">
        <f>G15+G17</f>
        <v>3157.8038683563832</v>
      </c>
      <c r="H18" s="15"/>
      <c r="I18" s="15"/>
      <c r="J18" s="15"/>
      <c r="K18" s="15"/>
      <c r="L18" s="15"/>
      <c r="M18" s="15"/>
      <c r="N18" s="15"/>
      <c r="O18" s="15"/>
      <c r="P18" s="15"/>
      <c r="Q18" s="15"/>
      <c r="R18" s="22"/>
      <c r="S18" s="15"/>
      <c r="T18" s="15"/>
    </row>
    <row r="19" spans="2:20" x14ac:dyDescent="0.2">
      <c r="B19" s="15"/>
      <c r="C19" s="8" t="s">
        <v>572</v>
      </c>
      <c r="D19" s="15"/>
      <c r="E19" s="61">
        <f>E17/E18</f>
        <v>0.49610537785603925</v>
      </c>
      <c r="F19" s="15"/>
      <c r="G19" s="61">
        <f>G17/G18</f>
        <v>0.53153008296303972</v>
      </c>
      <c r="H19" s="15"/>
      <c r="I19" s="15"/>
      <c r="J19" s="15"/>
      <c r="K19" s="15"/>
      <c r="L19" s="15"/>
      <c r="M19" s="15"/>
      <c r="N19" s="15"/>
      <c r="O19" s="15"/>
      <c r="P19" s="15"/>
      <c r="Q19" s="15"/>
      <c r="R19" s="22" t="s">
        <v>573</v>
      </c>
      <c r="S19" s="15"/>
      <c r="T19" s="15"/>
    </row>
    <row r="20" spans="2:20" x14ac:dyDescent="0.2">
      <c r="B20" s="15"/>
      <c r="C20" s="8" t="s">
        <v>574</v>
      </c>
      <c r="D20" s="15"/>
      <c r="E20" s="9">
        <f>Target!$F$116</f>
        <v>220.26067174994691</v>
      </c>
      <c r="F20" s="15"/>
      <c r="G20" s="9">
        <f>E20</f>
        <v>220.26067174994691</v>
      </c>
      <c r="H20" s="15"/>
      <c r="I20" s="15"/>
      <c r="J20" s="15"/>
      <c r="K20" s="15"/>
      <c r="L20" s="15"/>
      <c r="M20" s="15"/>
      <c r="N20" s="15"/>
      <c r="O20" s="15"/>
      <c r="P20" s="15"/>
      <c r="Q20" s="15"/>
      <c r="R20" s="22"/>
      <c r="S20" s="15"/>
      <c r="T20" s="15"/>
    </row>
    <row r="21" spans="2:20" x14ac:dyDescent="0.2">
      <c r="B21" s="15"/>
      <c r="C21" s="8" t="s">
        <v>575</v>
      </c>
      <c r="D21" s="15"/>
      <c r="E21" s="9">
        <f>-Target!F135</f>
        <v>-506.7</v>
      </c>
      <c r="F21" s="15"/>
      <c r="G21" s="9">
        <f>E21</f>
        <v>-506.7</v>
      </c>
      <c r="H21" s="15"/>
      <c r="I21" s="15"/>
      <c r="J21" s="15"/>
      <c r="K21" s="15"/>
      <c r="L21" s="15"/>
      <c r="M21" s="15"/>
      <c r="N21" s="15"/>
      <c r="O21" s="15"/>
      <c r="P21" s="15"/>
      <c r="Q21" s="15"/>
      <c r="R21" s="22"/>
      <c r="S21" s="15"/>
      <c r="T21" s="15"/>
    </row>
    <row r="22" spans="2:20" x14ac:dyDescent="0.2">
      <c r="B22" s="15"/>
      <c r="C22" s="8" t="s">
        <v>576</v>
      </c>
      <c r="D22" s="15"/>
      <c r="E22" s="9">
        <f>E20+E21</f>
        <v>-286.43932825005311</v>
      </c>
      <c r="F22" s="15"/>
      <c r="G22" s="9">
        <f>E22</f>
        <v>-286.43932825005311</v>
      </c>
      <c r="H22" s="15"/>
      <c r="I22" s="15"/>
      <c r="J22" s="15"/>
      <c r="K22" s="15"/>
      <c r="L22" s="15"/>
      <c r="M22" s="15"/>
      <c r="N22" s="15"/>
      <c r="O22" s="15"/>
      <c r="P22" s="15"/>
      <c r="Q22" s="15"/>
      <c r="R22" s="22"/>
      <c r="S22" s="15"/>
      <c r="T22" s="15"/>
    </row>
    <row r="23" spans="2:20" x14ac:dyDescent="0.2">
      <c r="B23" s="15"/>
      <c r="C23" s="8" t="s">
        <v>577</v>
      </c>
      <c r="D23" s="15"/>
      <c r="E23" s="9">
        <f>E18+E22</f>
        <v>2649.3652055107104</v>
      </c>
      <c r="F23" s="15"/>
      <c r="G23" s="9">
        <f>G18+G22</f>
        <v>2871.36454010633</v>
      </c>
      <c r="H23" s="15"/>
      <c r="I23" s="15"/>
      <c r="J23" s="15"/>
      <c r="K23" s="15"/>
      <c r="L23" s="15"/>
      <c r="M23" s="15"/>
      <c r="N23" s="15"/>
      <c r="O23" s="15"/>
      <c r="P23" s="15"/>
      <c r="Q23" s="15"/>
      <c r="R23" s="22"/>
      <c r="S23" s="15"/>
      <c r="T23" s="15"/>
    </row>
    <row r="24" spans="2:20" x14ac:dyDescent="0.2">
      <c r="B24" s="15"/>
      <c r="C24" s="8" t="s">
        <v>51</v>
      </c>
      <c r="D24" s="15"/>
      <c r="E24" s="124">
        <f>Target!$E$15</f>
        <v>55.593650793650795</v>
      </c>
      <c r="F24" s="15"/>
      <c r="G24" s="124">
        <f>E24</f>
        <v>55.593650793650795</v>
      </c>
      <c r="H24" s="15"/>
      <c r="I24" s="15"/>
      <c r="J24" s="15"/>
      <c r="K24" s="15"/>
      <c r="L24" s="15"/>
      <c r="M24" s="15"/>
      <c r="N24" s="15"/>
      <c r="O24" s="15"/>
      <c r="P24" s="15"/>
      <c r="Q24" s="15"/>
      <c r="R24" s="22"/>
      <c r="S24" s="15"/>
      <c r="T24" s="15"/>
    </row>
    <row r="25" spans="2:20" x14ac:dyDescent="0.2">
      <c r="B25" s="15"/>
      <c r="C25" s="5" t="s">
        <v>578</v>
      </c>
      <c r="D25" s="15"/>
      <c r="E25" s="123">
        <f>E23/E24</f>
        <v>47.655895370938431</v>
      </c>
      <c r="F25" s="15"/>
      <c r="G25" s="123">
        <f>G23/G24</f>
        <v>51.649145165229207</v>
      </c>
      <c r="H25" s="15"/>
      <c r="I25" s="15"/>
      <c r="J25" s="15"/>
      <c r="K25" s="15"/>
      <c r="L25" s="15"/>
      <c r="M25" s="15"/>
      <c r="N25" s="15"/>
      <c r="O25" s="15"/>
      <c r="P25" s="15"/>
      <c r="Q25" s="15"/>
      <c r="R25" s="22"/>
      <c r="S25" s="15"/>
      <c r="T25" s="15"/>
    </row>
    <row r="26" spans="2:20" x14ac:dyDescent="0.2">
      <c r="B26" s="15"/>
      <c r="C26" s="5" t="s">
        <v>579</v>
      </c>
      <c r="D26" s="15"/>
      <c r="E26" s="109">
        <f>E25/Target!E11-1</f>
        <v>0.26073797277614896</v>
      </c>
      <c r="F26" s="15"/>
      <c r="G26" s="109">
        <f>G25/Target!E11-1</f>
        <v>0.3663795017256406</v>
      </c>
      <c r="H26" s="15"/>
      <c r="I26" s="15"/>
      <c r="J26" s="15"/>
      <c r="K26" s="15"/>
      <c r="L26" s="15"/>
      <c r="M26" s="15"/>
      <c r="N26" s="15"/>
      <c r="O26" s="15"/>
      <c r="P26" s="15"/>
      <c r="Q26" s="15"/>
      <c r="R26" s="22" t="s">
        <v>580</v>
      </c>
      <c r="S26" s="15"/>
      <c r="T26" s="15"/>
    </row>
    <row r="27" spans="2:20" x14ac:dyDescent="0.2">
      <c r="B27" s="15"/>
      <c r="C27" s="15"/>
      <c r="D27" s="15"/>
      <c r="E27" s="15"/>
      <c r="F27" s="15"/>
      <c r="G27" s="15"/>
      <c r="H27" s="15"/>
      <c r="I27" s="15"/>
      <c r="J27" s="15"/>
      <c r="K27" s="15"/>
      <c r="L27" s="15"/>
      <c r="M27" s="15"/>
      <c r="N27" s="15"/>
      <c r="O27" s="15"/>
      <c r="P27" s="15"/>
      <c r="Q27" s="15"/>
      <c r="R27" s="22"/>
      <c r="S27" s="15"/>
      <c r="T27" s="15"/>
    </row>
    <row r="28" spans="2:20" x14ac:dyDescent="0.2">
      <c r="B28" s="15"/>
      <c r="C28" s="8" t="s">
        <v>581</v>
      </c>
      <c r="D28" s="15"/>
      <c r="E28" s="62">
        <f>($E$7*G16-P49)/(G16+P49)</f>
        <v>3.2782679322107391E-2</v>
      </c>
      <c r="F28" s="15"/>
      <c r="G28" s="15"/>
      <c r="H28" s="15"/>
      <c r="I28" s="15"/>
      <c r="J28" s="15"/>
      <c r="K28" s="15"/>
      <c r="L28" s="15"/>
      <c r="M28" s="15"/>
      <c r="N28" s="15"/>
      <c r="O28" s="15"/>
      <c r="P28" s="15"/>
      <c r="Q28" s="15"/>
      <c r="R28" s="22"/>
      <c r="S28" s="15"/>
      <c r="T28" s="15"/>
    </row>
    <row r="29" spans="2:20" x14ac:dyDescent="0.2">
      <c r="B29" s="15"/>
      <c r="C29" s="8" t="s">
        <v>582</v>
      </c>
      <c r="D29" s="15"/>
      <c r="E29" s="63">
        <f>E16/P56</f>
        <v>7.3757637186238147</v>
      </c>
      <c r="F29" s="15"/>
      <c r="G29" s="15"/>
      <c r="H29" s="15"/>
      <c r="I29" s="15"/>
      <c r="J29" s="15"/>
      <c r="K29" s="15"/>
      <c r="L29" s="15"/>
      <c r="M29" s="15"/>
      <c r="N29" s="15"/>
      <c r="O29" s="15"/>
      <c r="P29" s="15"/>
      <c r="Q29" s="15"/>
      <c r="R29" s="22" t="s">
        <v>583</v>
      </c>
      <c r="S29" s="15"/>
      <c r="T29" s="15"/>
    </row>
    <row r="30" spans="2:20" x14ac:dyDescent="0.2">
      <c r="B30" s="15"/>
      <c r="C30" s="15"/>
      <c r="D30" s="15"/>
      <c r="E30" s="15"/>
      <c r="F30" s="15"/>
      <c r="G30" s="15"/>
      <c r="H30" s="15"/>
      <c r="I30" s="15"/>
      <c r="J30" s="15"/>
      <c r="K30" s="15"/>
      <c r="L30" s="15"/>
      <c r="M30" s="15"/>
      <c r="N30" s="15"/>
      <c r="O30" s="15"/>
      <c r="P30" s="15"/>
      <c r="Q30" s="15"/>
      <c r="R30" s="22"/>
      <c r="S30" s="15"/>
      <c r="T30" s="15"/>
    </row>
    <row r="31" spans="2:20" x14ac:dyDescent="0.2">
      <c r="B31" s="19" t="s">
        <v>584</v>
      </c>
      <c r="C31" s="19"/>
      <c r="D31" s="20"/>
      <c r="E31" s="19"/>
      <c r="F31" s="19"/>
      <c r="G31" s="19"/>
      <c r="H31" s="19"/>
      <c r="I31" s="19"/>
      <c r="J31" s="19"/>
      <c r="K31" s="19"/>
      <c r="L31" s="19" t="s">
        <v>585</v>
      </c>
      <c r="M31" s="22" t="s">
        <v>586</v>
      </c>
      <c r="N31" s="22" t="s">
        <v>585</v>
      </c>
      <c r="O31" s="22" t="s">
        <v>585</v>
      </c>
      <c r="P31" s="22" t="s">
        <v>585</v>
      </c>
      <c r="Q31" s="15"/>
      <c r="R31" s="22"/>
      <c r="S31" s="15"/>
      <c r="T31" s="15"/>
    </row>
    <row r="32" spans="2:20" x14ac:dyDescent="0.2">
      <c r="B32" s="15"/>
      <c r="C32" s="15"/>
      <c r="D32" s="6" t="s">
        <v>134</v>
      </c>
      <c r="E32" s="15"/>
      <c r="F32" s="143">
        <f>Merger_Model!$F$89</f>
        <v>46022</v>
      </c>
      <c r="G32" s="143">
        <f>Merger_Model!$G$89</f>
        <v>46387</v>
      </c>
      <c r="H32" s="143">
        <f>Merger_Model!$H$89</f>
        <v>46752</v>
      </c>
      <c r="I32" s="143">
        <f>Merger_Model!$I$89</f>
        <v>47118</v>
      </c>
      <c r="J32" s="143">
        <f>Merger_Model!$J$89</f>
        <v>47483</v>
      </c>
      <c r="K32" s="143">
        <f>Merger_Model!$K$89</f>
        <v>47848</v>
      </c>
      <c r="L32" s="143">
        <f>EOMONTH(K32,12)</f>
        <v>48213</v>
      </c>
      <c r="M32" s="15"/>
      <c r="N32" s="143">
        <f>EOMONTH(L32,12)</f>
        <v>48579</v>
      </c>
      <c r="O32" s="143">
        <f>EOMONTH(N32,12)</f>
        <v>48944</v>
      </c>
      <c r="P32" s="143">
        <f>EOMONTH(O32,12)</f>
        <v>49309</v>
      </c>
      <c r="Q32" s="15"/>
      <c r="R32" s="22"/>
      <c r="S32" s="15"/>
      <c r="T32" s="15"/>
    </row>
    <row r="33" spans="2:20" x14ac:dyDescent="0.2">
      <c r="B33" s="15"/>
      <c r="C33" s="5" t="s">
        <v>76</v>
      </c>
      <c r="D33" s="6" t="s">
        <v>61</v>
      </c>
      <c r="E33" s="15"/>
      <c r="F33" s="147">
        <f>Target!F90</f>
        <v>2708.5</v>
      </c>
      <c r="G33" s="147">
        <f>Target!G90</f>
        <v>2854.0245</v>
      </c>
      <c r="H33" s="147">
        <f>Target!H90</f>
        <v>3000.0668437499999</v>
      </c>
      <c r="I33" s="147">
        <f>Target!I90</f>
        <v>3143.3389229650002</v>
      </c>
      <c r="J33" s="147">
        <f>Target!J90</f>
        <v>3280.8121784535847</v>
      </c>
      <c r="K33" s="147">
        <f>Target!K90</f>
        <v>3408.3885641676434</v>
      </c>
      <c r="L33" s="7">
        <f>K33*(1+L34)</f>
        <v>3510.6402210926726</v>
      </c>
      <c r="M33" s="15"/>
      <c r="N33" s="7">
        <f>L33*(1+N34)</f>
        <v>3608.9381472832674</v>
      </c>
      <c r="O33" s="7">
        <f>N33*(1+O34)</f>
        <v>3699.161600965349</v>
      </c>
      <c r="P33" s="7">
        <f>O33*(1+P34)</f>
        <v>3782.3927369870694</v>
      </c>
      <c r="Q33" s="15"/>
      <c r="R33" s="22"/>
      <c r="S33" s="15"/>
      <c r="T33" s="15"/>
    </row>
    <row r="34" spans="2:20" x14ac:dyDescent="0.2">
      <c r="B34" s="15"/>
      <c r="C34" s="14" t="s">
        <v>105</v>
      </c>
      <c r="D34" s="6" t="s">
        <v>4</v>
      </c>
      <c r="E34" s="15"/>
      <c r="F34" s="145">
        <f>Target!F194</f>
        <v>4.7775628626692379E-2</v>
      </c>
      <c r="G34" s="145">
        <f>Target!G194</f>
        <v>5.3728816688203729E-2</v>
      </c>
      <c r="H34" s="145">
        <f>Target!H194</f>
        <v>5.1170669260197199E-2</v>
      </c>
      <c r="I34" s="145">
        <f>Target!I194</f>
        <v>4.7756295668370585E-2</v>
      </c>
      <c r="J34" s="145">
        <f>Target!J194</f>
        <v>4.3734786116831126E-2</v>
      </c>
      <c r="K34" s="145">
        <f>Target!K194</f>
        <v>3.8885610871571386E-2</v>
      </c>
      <c r="L34" s="116">
        <v>0.03</v>
      </c>
      <c r="M34" s="15"/>
      <c r="N34" s="116">
        <v>2.8000000000000001E-2</v>
      </c>
      <c r="O34" s="116">
        <v>2.5000000000000001E-2</v>
      </c>
      <c r="P34" s="116">
        <v>2.2499999999999999E-2</v>
      </c>
      <c r="Q34" s="15"/>
      <c r="R34" s="22" t="s">
        <v>587</v>
      </c>
      <c r="S34" s="15"/>
      <c r="T34" s="15"/>
    </row>
    <row r="35" spans="2:20" x14ac:dyDescent="0.2">
      <c r="B35" s="15"/>
      <c r="C35" s="15"/>
      <c r="D35" s="15"/>
      <c r="E35" s="15"/>
      <c r="F35" s="15"/>
      <c r="G35" s="15"/>
      <c r="H35" s="15"/>
      <c r="I35" s="15"/>
      <c r="J35" s="15"/>
      <c r="K35" s="15"/>
      <c r="L35" s="15"/>
      <c r="M35" s="15"/>
      <c r="N35" s="15"/>
      <c r="O35" s="15"/>
      <c r="P35" s="15"/>
      <c r="Q35" s="15"/>
      <c r="R35" s="22"/>
      <c r="S35" s="15"/>
      <c r="T35" s="15"/>
    </row>
    <row r="36" spans="2:20" x14ac:dyDescent="0.2">
      <c r="B36" s="15"/>
      <c r="C36" s="5" t="s">
        <v>588</v>
      </c>
      <c r="D36" s="6" t="s">
        <v>61</v>
      </c>
      <c r="E36" s="15"/>
      <c r="F36" s="147">
        <f>Target!F102</f>
        <v>258.94676520000007</v>
      </c>
      <c r="G36" s="147">
        <f>Target!G102</f>
        <v>285.38784518399996</v>
      </c>
      <c r="H36" s="147">
        <f>Target!H102</f>
        <v>310.68862390073969</v>
      </c>
      <c r="I36" s="147">
        <f>Target!I102</f>
        <v>334.02830156871073</v>
      </c>
      <c r="J36" s="147">
        <f>Target!J102</f>
        <v>353.8849951482631</v>
      </c>
      <c r="K36" s="147">
        <f>Target!K102</f>
        <v>369.29423415134409</v>
      </c>
      <c r="L36" s="7">
        <f>L33*L37</f>
        <v>384.41510420964767</v>
      </c>
      <c r="M36" s="15"/>
      <c r="N36" s="7">
        <f>N33*N37</f>
        <v>395.17872712751779</v>
      </c>
      <c r="O36" s="7">
        <f>O33*O37</f>
        <v>403.20861450522301</v>
      </c>
      <c r="P36" s="7">
        <f>P33*P37</f>
        <v>412.28080833159055</v>
      </c>
      <c r="Q36" s="15"/>
      <c r="R36" s="22"/>
      <c r="S36" s="15"/>
      <c r="T36" s="15"/>
    </row>
    <row r="37" spans="2:20" x14ac:dyDescent="0.2">
      <c r="B37" s="15"/>
      <c r="C37" s="14" t="s">
        <v>589</v>
      </c>
      <c r="D37" s="6" t="s">
        <v>4</v>
      </c>
      <c r="E37" s="15"/>
      <c r="F37" s="61">
        <f t="shared" ref="F37:K37" si="0">F36/F33</f>
        <v>9.5605229905851977E-2</v>
      </c>
      <c r="G37" s="61">
        <f t="shared" si="0"/>
        <v>9.9994882729282794E-2</v>
      </c>
      <c r="H37" s="61">
        <f t="shared" si="0"/>
        <v>0.10356056717469254</v>
      </c>
      <c r="I37" s="61">
        <f t="shared" si="0"/>
        <v>0.10626544249756996</v>
      </c>
      <c r="J37" s="61">
        <f t="shared" si="0"/>
        <v>0.10786505776599113</v>
      </c>
      <c r="K37" s="61">
        <f t="shared" si="0"/>
        <v>0.10834863079689061</v>
      </c>
      <c r="L37" s="116">
        <v>0.1095</v>
      </c>
      <c r="M37" s="15"/>
      <c r="N37" s="116">
        <v>0.1095</v>
      </c>
      <c r="O37" s="116">
        <v>0.109</v>
      </c>
      <c r="P37" s="116">
        <v>0.109</v>
      </c>
      <c r="Q37" s="15"/>
      <c r="R37" s="22" t="s">
        <v>590</v>
      </c>
      <c r="S37" s="15"/>
      <c r="T37" s="15"/>
    </row>
    <row r="38" spans="2:20" x14ac:dyDescent="0.2">
      <c r="B38" s="15"/>
      <c r="C38" s="8" t="s">
        <v>591</v>
      </c>
      <c r="D38" s="6" t="s">
        <v>61</v>
      </c>
      <c r="E38" s="15"/>
      <c r="F38" s="9">
        <f>-F36*Target!$E$10</f>
        <v>-63.44195747400002</v>
      </c>
      <c r="G38" s="9">
        <f>-G36*Target!$E$10</f>
        <v>-69.920022070079995</v>
      </c>
      <c r="H38" s="9">
        <f>-H36*Target!$E$10</f>
        <v>-76.118712855681224</v>
      </c>
      <c r="I38" s="9">
        <f>-I36*Target!$E$10</f>
        <v>-81.83693388433413</v>
      </c>
      <c r="J38" s="9">
        <f>-J36*Target!$E$10</f>
        <v>-86.701823811324459</v>
      </c>
      <c r="K38" s="9">
        <f>-K36*Target!$E$10</f>
        <v>-90.477087367079292</v>
      </c>
      <c r="L38" s="9">
        <f>-L36*Target!$E$10</f>
        <v>-94.181700531363674</v>
      </c>
      <c r="M38" s="9"/>
      <c r="N38" s="9">
        <f>-N36*Target!$E$10</f>
        <v>-96.818788146241857</v>
      </c>
      <c r="O38" s="9">
        <f>-O36*Target!$E$10</f>
        <v>-98.786110553779636</v>
      </c>
      <c r="P38" s="9">
        <f>-P36*Target!$E$10</f>
        <v>-101.00879804123969</v>
      </c>
      <c r="Q38" s="15"/>
      <c r="R38" s="22" t="s">
        <v>592</v>
      </c>
      <c r="S38" s="15"/>
      <c r="T38" s="15"/>
    </row>
    <row r="39" spans="2:20" x14ac:dyDescent="0.2">
      <c r="B39" s="15"/>
      <c r="C39" s="5" t="s">
        <v>593</v>
      </c>
      <c r="D39" s="6" t="s">
        <v>61</v>
      </c>
      <c r="E39" s="15"/>
      <c r="F39" s="7">
        <f t="shared" ref="F39:L39" si="1">F36+F38</f>
        <v>195.50480772600005</v>
      </c>
      <c r="G39" s="7">
        <f t="shared" si="1"/>
        <v>215.46782311391996</v>
      </c>
      <c r="H39" s="7">
        <f t="shared" si="1"/>
        <v>234.56991104505846</v>
      </c>
      <c r="I39" s="7">
        <f t="shared" si="1"/>
        <v>252.19136768437659</v>
      </c>
      <c r="J39" s="7">
        <f t="shared" si="1"/>
        <v>267.18317133693864</v>
      </c>
      <c r="K39" s="7">
        <f t="shared" si="1"/>
        <v>278.81714678426476</v>
      </c>
      <c r="L39" s="7">
        <f t="shared" si="1"/>
        <v>290.23340367828399</v>
      </c>
      <c r="M39" s="15"/>
      <c r="N39" s="7">
        <f>N36+N38</f>
        <v>298.35993898127595</v>
      </c>
      <c r="O39" s="7">
        <f>O36+O38</f>
        <v>304.42250395144339</v>
      </c>
      <c r="P39" s="7">
        <f>P36+P38</f>
        <v>311.27201029035086</v>
      </c>
      <c r="Q39" s="15"/>
      <c r="R39" s="22"/>
      <c r="S39" s="15"/>
      <c r="T39" s="15"/>
    </row>
    <row r="40" spans="2:20" x14ac:dyDescent="0.2">
      <c r="B40" s="15"/>
      <c r="C40" s="15"/>
      <c r="D40" s="15"/>
      <c r="E40" s="15"/>
      <c r="F40" s="15"/>
      <c r="G40" s="15"/>
      <c r="H40" s="15"/>
      <c r="I40" s="15"/>
      <c r="J40" s="15"/>
      <c r="K40" s="15"/>
      <c r="L40" s="15"/>
      <c r="M40" s="15"/>
      <c r="N40" s="15"/>
      <c r="O40" s="15"/>
      <c r="P40" s="15"/>
      <c r="Q40" s="15"/>
      <c r="R40" s="22"/>
      <c r="S40" s="15"/>
      <c r="T40" s="15"/>
    </row>
    <row r="41" spans="2:20" x14ac:dyDescent="0.2">
      <c r="B41" s="15"/>
      <c r="C41" s="8" t="s">
        <v>594</v>
      </c>
      <c r="D41" s="6" t="s">
        <v>61</v>
      </c>
      <c r="E41" s="15"/>
      <c r="F41" s="108">
        <f>Target!F152+Target!F153</f>
        <v>58.774450000000002</v>
      </c>
      <c r="G41" s="108">
        <f>Target!G152+Target!G153</f>
        <v>61.646929199999995</v>
      </c>
      <c r="H41" s="108">
        <f>Target!H152+Target!H153</f>
        <v>64.201430456249994</v>
      </c>
      <c r="I41" s="108">
        <f>Target!I152+Target!I153</f>
        <v>66.324451274561497</v>
      </c>
      <c r="J41" s="108">
        <f>Target!J152+Target!J153</f>
        <v>68.240893311834554</v>
      </c>
      <c r="K41" s="108">
        <f>Target!K152+Target!K153</f>
        <v>70.212804421853463</v>
      </c>
      <c r="L41" s="9">
        <f>L33*L42</f>
        <v>70.212804421853448</v>
      </c>
      <c r="M41" s="15"/>
      <c r="N41" s="9">
        <f>N33*N42</f>
        <v>72.178762945665355</v>
      </c>
      <c r="O41" s="9">
        <f>O33*O42</f>
        <v>73.983232019306982</v>
      </c>
      <c r="P41" s="9">
        <f>P33*P42</f>
        <v>75.647854739741391</v>
      </c>
      <c r="Q41" s="15"/>
      <c r="R41" s="22"/>
      <c r="S41" s="15"/>
      <c r="T41" s="15"/>
    </row>
    <row r="42" spans="2:20" x14ac:dyDescent="0.2">
      <c r="B42" s="15"/>
      <c r="C42" s="14" t="s">
        <v>595</v>
      </c>
      <c r="D42" s="6" t="s">
        <v>4</v>
      </c>
      <c r="E42" s="15"/>
      <c r="F42" s="62">
        <f t="shared" ref="F42:K42" si="2">F41/F33</f>
        <v>2.1700000000000001E-2</v>
      </c>
      <c r="G42" s="62">
        <f t="shared" si="2"/>
        <v>2.1599999999999998E-2</v>
      </c>
      <c r="H42" s="62">
        <f t="shared" si="2"/>
        <v>2.1399999999999999E-2</v>
      </c>
      <c r="I42" s="62">
        <f t="shared" si="2"/>
        <v>2.1099999999999997E-2</v>
      </c>
      <c r="J42" s="62">
        <f t="shared" si="2"/>
        <v>2.0799999999999999E-2</v>
      </c>
      <c r="K42" s="62">
        <f t="shared" si="2"/>
        <v>2.0600000000000004E-2</v>
      </c>
      <c r="L42" s="115">
        <v>0.02</v>
      </c>
      <c r="M42" s="15"/>
      <c r="N42" s="115">
        <v>0.02</v>
      </c>
      <c r="O42" s="115">
        <v>0.02</v>
      </c>
      <c r="P42" s="115">
        <v>0.02</v>
      </c>
      <c r="Q42" s="15"/>
      <c r="R42" s="22"/>
      <c r="S42" s="15"/>
      <c r="T42" s="15"/>
    </row>
    <row r="43" spans="2:20" x14ac:dyDescent="0.2">
      <c r="B43" s="15"/>
      <c r="C43" s="8" t="s">
        <v>166</v>
      </c>
      <c r="D43" s="6" t="s">
        <v>61</v>
      </c>
      <c r="E43" s="15"/>
      <c r="F43" s="108">
        <f>Target!F157</f>
        <v>4.5376237802785413</v>
      </c>
      <c r="G43" s="108">
        <f>Target!G157</f>
        <v>3.8835116898201467</v>
      </c>
      <c r="H43" s="108">
        <f>Target!H157</f>
        <v>3.6331116948031994</v>
      </c>
      <c r="I43" s="108">
        <f>Target!I157</f>
        <v>3.2135432913957387</v>
      </c>
      <c r="J43" s="108">
        <f>Target!J157</f>
        <v>3.494416816151598</v>
      </c>
      <c r="K43" s="108">
        <f>Target!K157</f>
        <v>3.7400255690821353</v>
      </c>
      <c r="L43" s="9">
        <f>0</f>
        <v>0</v>
      </c>
      <c r="M43" s="15"/>
      <c r="N43" s="9">
        <f>0</f>
        <v>0</v>
      </c>
      <c r="O43" s="9">
        <f>0</f>
        <v>0</v>
      </c>
      <c r="P43" s="9">
        <f>0</f>
        <v>0</v>
      </c>
      <c r="Q43" s="15"/>
      <c r="R43" s="22"/>
      <c r="S43" s="15"/>
      <c r="T43" s="15"/>
    </row>
    <row r="44" spans="2:20" x14ac:dyDescent="0.2">
      <c r="B44" s="15"/>
      <c r="C44" s="8" t="s">
        <v>442</v>
      </c>
      <c r="D44" s="6" t="s">
        <v>61</v>
      </c>
      <c r="E44" s="15"/>
      <c r="F44" s="108">
        <f>Target!F166</f>
        <v>-21.339141027999986</v>
      </c>
      <c r="G44" s="108">
        <f>Target!G166</f>
        <v>-22.4029736887599</v>
      </c>
      <c r="H44" s="108">
        <f>Target!H166</f>
        <v>-22.516544018842325</v>
      </c>
      <c r="I44" s="108">
        <f>Target!I166</f>
        <v>-23.861420847244261</v>
      </c>
      <c r="J44" s="108">
        <f>Target!J166</f>
        <v>-22.84681201297272</v>
      </c>
      <c r="K44" s="108">
        <f>Target!K166</f>
        <v>-23.589370974223499</v>
      </c>
      <c r="L44" s="9">
        <f>-(L33-K33)*L45</f>
        <v>-22.495364523506431</v>
      </c>
      <c r="M44" s="15"/>
      <c r="N44" s="9">
        <f>-(N33-L33)*N45</f>
        <v>-21.625543761930857</v>
      </c>
      <c r="O44" s="9">
        <f>-(O33-N33)*O45</f>
        <v>-19.849159810057937</v>
      </c>
      <c r="P44" s="9">
        <f>-(P33-O33)*P45</f>
        <v>-18.310849924778495</v>
      </c>
      <c r="Q44" s="15"/>
      <c r="R44" s="22"/>
      <c r="S44" s="15"/>
      <c r="T44" s="15"/>
    </row>
    <row r="45" spans="2:20" x14ac:dyDescent="0.2">
      <c r="B45" s="15"/>
      <c r="C45" s="14" t="s">
        <v>596</v>
      </c>
      <c r="D45" s="6" t="s">
        <v>4</v>
      </c>
      <c r="E45" s="15"/>
      <c r="F45" s="61">
        <f t="shared" ref="F45:K45" si="3">IFERROR(-F44/(F33-E33),0)</f>
        <v>7.8785826206387247E-3</v>
      </c>
      <c r="G45" s="61">
        <f t="shared" si="3"/>
        <v>0.15394640551082397</v>
      </c>
      <c r="H45" s="61">
        <f t="shared" si="3"/>
        <v>0.15417818860389484</v>
      </c>
      <c r="I45" s="61">
        <f t="shared" si="3"/>
        <v>0.16654620340531792</v>
      </c>
      <c r="J45" s="61">
        <f t="shared" si="3"/>
        <v>0.16619095788322163</v>
      </c>
      <c r="K45" s="61">
        <f t="shared" si="3"/>
        <v>0.18490389770952723</v>
      </c>
      <c r="L45" s="116">
        <v>0.22</v>
      </c>
      <c r="M45" s="15"/>
      <c r="N45" s="116">
        <v>0.22</v>
      </c>
      <c r="O45" s="116">
        <v>0.22</v>
      </c>
      <c r="P45" s="116">
        <v>0.22</v>
      </c>
      <c r="Q45" s="15"/>
      <c r="R45" s="22" t="s">
        <v>597</v>
      </c>
      <c r="S45" s="15"/>
      <c r="T45" s="15"/>
    </row>
    <row r="46" spans="2:20" x14ac:dyDescent="0.2">
      <c r="B46" s="15"/>
      <c r="C46" s="8" t="s">
        <v>598</v>
      </c>
      <c r="D46" s="6" t="s">
        <v>61</v>
      </c>
      <c r="E46" s="15"/>
      <c r="F46" s="108">
        <f>Target!F169+Target!F170</f>
        <v>-54.878500000000003</v>
      </c>
      <c r="G46" s="108">
        <f>Target!G169+Target!G170</f>
        <v>-56.507502250000002</v>
      </c>
      <c r="H46" s="108">
        <f>Target!H169+Target!H170</f>
        <v>-58.001336875</v>
      </c>
      <c r="I46" s="108">
        <f>Target!I169+Target!I170</f>
        <v>-59.295108997817501</v>
      </c>
      <c r="J46" s="108">
        <f>Target!J169+Target!J170</f>
        <v>-60.335431390618105</v>
      </c>
      <c r="K46" s="108">
        <f>Target!K169+Target!K170</f>
        <v>-62.759382719185226</v>
      </c>
      <c r="L46" s="9">
        <f>-L33*L47</f>
        <v>-66.702164200760777</v>
      </c>
      <c r="M46" s="15"/>
      <c r="N46" s="9">
        <f>-N33*N47</f>
        <v>-68.569824798382086</v>
      </c>
      <c r="O46" s="9">
        <f>-O33*O47</f>
        <v>-72.133651218824298</v>
      </c>
      <c r="P46" s="9">
        <f>-P33*P47</f>
        <v>-75.647854739741391</v>
      </c>
      <c r="Q46" s="15"/>
      <c r="R46" s="22"/>
      <c r="S46" s="15"/>
      <c r="T46" s="15"/>
    </row>
    <row r="47" spans="2:20" x14ac:dyDescent="0.2">
      <c r="B47" s="15"/>
      <c r="C47" s="14" t="s">
        <v>595</v>
      </c>
      <c r="D47" s="6" t="s">
        <v>4</v>
      </c>
      <c r="E47" s="15"/>
      <c r="F47" s="62">
        <f t="shared" ref="F47:K47" si="4">-F46/F33</f>
        <v>2.0261583902529075E-2</v>
      </c>
      <c r="G47" s="62">
        <f t="shared" si="4"/>
        <v>1.9799235167742953E-2</v>
      </c>
      <c r="H47" s="62">
        <f t="shared" si="4"/>
        <v>1.9333348187169037E-2</v>
      </c>
      <c r="I47" s="62">
        <f t="shared" si="4"/>
        <v>1.8863733899202484E-2</v>
      </c>
      <c r="J47" s="62">
        <f t="shared" si="4"/>
        <v>1.8390394850051214E-2</v>
      </c>
      <c r="K47" s="62">
        <f t="shared" si="4"/>
        <v>1.8413212442669837E-2</v>
      </c>
      <c r="L47" s="115">
        <v>1.9E-2</v>
      </c>
      <c r="M47" s="15"/>
      <c r="N47" s="115">
        <v>1.9E-2</v>
      </c>
      <c r="O47" s="115">
        <v>1.95E-2</v>
      </c>
      <c r="P47" s="115">
        <v>0.02</v>
      </c>
      <c r="Q47" s="15"/>
      <c r="R47" s="22" t="s">
        <v>599</v>
      </c>
      <c r="S47" s="15"/>
      <c r="T47" s="15"/>
    </row>
    <row r="48" spans="2:20" x14ac:dyDescent="0.2">
      <c r="B48" s="15"/>
      <c r="C48" s="15"/>
      <c r="D48" s="15"/>
      <c r="E48" s="15"/>
      <c r="F48" s="15"/>
      <c r="G48" s="15"/>
      <c r="H48" s="15"/>
      <c r="I48" s="15"/>
      <c r="J48" s="15"/>
      <c r="K48" s="15"/>
      <c r="L48" s="15"/>
      <c r="M48" s="15"/>
      <c r="N48" s="15"/>
      <c r="O48" s="15"/>
      <c r="P48" s="15"/>
      <c r="Q48" s="15"/>
      <c r="R48" s="22"/>
      <c r="S48" s="15"/>
      <c r="T48" s="15"/>
    </row>
    <row r="49" spans="2:20" ht="17" thickBot="1" x14ac:dyDescent="0.25">
      <c r="B49" s="15"/>
      <c r="C49" s="5" t="s">
        <v>197</v>
      </c>
      <c r="D49" s="6" t="s">
        <v>61</v>
      </c>
      <c r="E49" s="15"/>
      <c r="F49" s="11">
        <f t="shared" ref="F49:L49" si="5">F39+F41+F43+F44+F46</f>
        <v>182.59924047827863</v>
      </c>
      <c r="G49" s="11">
        <f t="shared" si="5"/>
        <v>202.08778806498015</v>
      </c>
      <c r="H49" s="11">
        <f t="shared" si="5"/>
        <v>221.88657230226931</v>
      </c>
      <c r="I49" s="11">
        <f t="shared" si="5"/>
        <v>238.57283240527212</v>
      </c>
      <c r="J49" s="11">
        <f t="shared" si="5"/>
        <v>255.73623806133395</v>
      </c>
      <c r="K49" s="11">
        <f t="shared" si="5"/>
        <v>266.42122308179165</v>
      </c>
      <c r="L49" s="11">
        <f t="shared" si="5"/>
        <v>271.24867937587021</v>
      </c>
      <c r="M49" s="15"/>
      <c r="N49" s="11">
        <f>N39+N41+N43+N44+N46</f>
        <v>280.34333336662837</v>
      </c>
      <c r="O49" s="11">
        <f>O39+O41+O43+O44+O46</f>
        <v>286.42292494186813</v>
      </c>
      <c r="P49" s="11">
        <f>P39+P41+P43+P44+P46</f>
        <v>292.96116036557237</v>
      </c>
      <c r="Q49" s="15"/>
      <c r="R49" s="22"/>
      <c r="S49" s="15"/>
      <c r="T49" s="15"/>
    </row>
    <row r="50" spans="2:20" ht="17" thickTop="1" x14ac:dyDescent="0.2">
      <c r="B50" s="15"/>
      <c r="C50" s="14" t="s">
        <v>105</v>
      </c>
      <c r="D50" s="15"/>
      <c r="E50" s="15"/>
      <c r="F50" s="15"/>
      <c r="G50" s="61">
        <f t="shared" ref="G50:L50" si="6">IFERROR(G49/F49-1,0)</f>
        <v>0.10672852491420848</v>
      </c>
      <c r="H50" s="61">
        <f t="shared" si="6"/>
        <v>9.7971205617446655E-2</v>
      </c>
      <c r="I50" s="61">
        <f t="shared" si="6"/>
        <v>7.5201757050316731E-2</v>
      </c>
      <c r="J50" s="61">
        <f t="shared" si="6"/>
        <v>7.1941995586931373E-2</v>
      </c>
      <c r="K50" s="61">
        <f t="shared" si="6"/>
        <v>4.1781270818158633E-2</v>
      </c>
      <c r="L50" s="61">
        <f t="shared" si="6"/>
        <v>1.8119638661806325E-2</v>
      </c>
      <c r="M50" s="15"/>
      <c r="N50" s="61">
        <f>IFERROR(N49/L49-1,0)</f>
        <v>3.3528841547485255E-2</v>
      </c>
      <c r="O50" s="61">
        <f>IFERROR(O49/N49-1,0)</f>
        <v>2.1686235596296344E-2</v>
      </c>
      <c r="P50" s="61">
        <f>IFERROR(P49/O49-1,0)</f>
        <v>2.2827207092558144E-2</v>
      </c>
      <c r="Q50" s="15"/>
      <c r="R50" s="22"/>
      <c r="S50" s="15"/>
      <c r="T50" s="15"/>
    </row>
    <row r="51" spans="2:20" x14ac:dyDescent="0.2">
      <c r="B51" s="15"/>
      <c r="C51" s="15"/>
      <c r="D51" s="15"/>
      <c r="E51" s="15"/>
      <c r="F51" s="15"/>
      <c r="G51" s="15"/>
      <c r="H51" s="15"/>
      <c r="I51" s="15"/>
      <c r="J51" s="15"/>
      <c r="K51" s="15"/>
      <c r="L51" s="15"/>
      <c r="M51" s="15"/>
      <c r="N51" s="15"/>
      <c r="O51" s="15"/>
      <c r="P51" s="15"/>
      <c r="Q51" s="15"/>
      <c r="R51" s="22"/>
      <c r="S51" s="15"/>
      <c r="T51" s="15"/>
    </row>
    <row r="52" spans="2:20" x14ac:dyDescent="0.2">
      <c r="B52" s="15"/>
      <c r="C52" s="8" t="s">
        <v>503</v>
      </c>
      <c r="D52" s="15"/>
      <c r="E52" s="15"/>
      <c r="F52" s="15"/>
      <c r="G52" s="148">
        <f>1-$E$8*0.5</f>
        <v>0.5</v>
      </c>
      <c r="H52" s="148">
        <f>2-$E$8*0.5</f>
        <v>1.5</v>
      </c>
      <c r="I52" s="148">
        <f>3-$E$8*0.5</f>
        <v>2.5</v>
      </c>
      <c r="J52" s="148">
        <f>4-$E$8*0.5</f>
        <v>3.5</v>
      </c>
      <c r="K52" s="148">
        <f>5-$E$8*0.5</f>
        <v>4.5</v>
      </c>
      <c r="L52" s="148">
        <f>6-$E$8*0.5</f>
        <v>5.5</v>
      </c>
      <c r="M52" s="15"/>
      <c r="N52" s="148">
        <f>7-$E$8*0.5</f>
        <v>6.5</v>
      </c>
      <c r="O52" s="148">
        <f>8-$E$8*0.5</f>
        <v>7.5</v>
      </c>
      <c r="P52" s="148">
        <f>9-$E$8*0.5</f>
        <v>8.5</v>
      </c>
      <c r="Q52" s="15"/>
      <c r="R52" s="22" t="s">
        <v>600</v>
      </c>
      <c r="S52" s="15"/>
      <c r="T52" s="15"/>
    </row>
    <row r="53" spans="2:20" x14ac:dyDescent="0.2">
      <c r="B53" s="15"/>
      <c r="C53" s="8" t="s">
        <v>601</v>
      </c>
      <c r="D53" s="15"/>
      <c r="E53" s="15"/>
      <c r="F53" s="15"/>
      <c r="G53" s="149">
        <f t="shared" ref="G53:L53" si="7">1/(1+$E$7)^G52</f>
        <v>0.95098642844709158</v>
      </c>
      <c r="H53" s="149">
        <f t="shared" si="7"/>
        <v>0.86004852914741747</v>
      </c>
      <c r="I53" s="149">
        <f t="shared" si="7"/>
        <v>0.77780654945465266</v>
      </c>
      <c r="J53" s="149">
        <f t="shared" si="7"/>
        <v>0.70342894368331077</v>
      </c>
      <c r="K53" s="149">
        <f t="shared" si="7"/>
        <v>0.63616368254850597</v>
      </c>
      <c r="L53" s="149">
        <f t="shared" si="7"/>
        <v>0.57533064942502166</v>
      </c>
      <c r="M53" s="15"/>
      <c r="N53" s="149">
        <f>1/(1+$E$7)^N52</f>
        <v>0.5203147637126847</v>
      </c>
      <c r="O53" s="149">
        <f>1/(1+$E$7)^O52</f>
        <v>0.47055976177863734</v>
      </c>
      <c r="P53" s="149">
        <f>1/(1+$E$7)^P52</f>
        <v>0.42556257259584235</v>
      </c>
      <c r="Q53" s="15"/>
      <c r="R53" s="22"/>
      <c r="S53" s="15"/>
      <c r="T53" s="15"/>
    </row>
    <row r="54" spans="2:20" x14ac:dyDescent="0.2">
      <c r="B54" s="15"/>
      <c r="C54" s="5" t="s">
        <v>602</v>
      </c>
      <c r="D54" s="15"/>
      <c r="E54" s="15"/>
      <c r="F54" s="15"/>
      <c r="G54" s="7">
        <f t="shared" ref="G54:L54" si="8">G49*G53</f>
        <v>192.18274380468824</v>
      </c>
      <c r="H54" s="7">
        <f t="shared" si="8"/>
        <v>190.83322014612884</v>
      </c>
      <c r="I54" s="7">
        <f t="shared" si="8"/>
        <v>185.56351156676786</v>
      </c>
      <c r="J54" s="7">
        <f t="shared" si="8"/>
        <v>179.89227180102785</v>
      </c>
      <c r="K54" s="7">
        <f t="shared" si="8"/>
        <v>169.48750638478958</v>
      </c>
      <c r="L54" s="7">
        <f t="shared" si="8"/>
        <v>156.05767886099889</v>
      </c>
      <c r="M54" s="15"/>
      <c r="N54" s="7">
        <f>N49*N53</f>
        <v>145.86677525908362</v>
      </c>
      <c r="O54" s="7">
        <f>O49*O53</f>
        <v>134.77910332858599</v>
      </c>
      <c r="P54" s="7">
        <f>P49*P53</f>
        <v>124.6733050758361</v>
      </c>
      <c r="Q54" s="15"/>
      <c r="R54" s="22"/>
      <c r="S54" s="15"/>
      <c r="T54" s="15"/>
    </row>
    <row r="55" spans="2:20" x14ac:dyDescent="0.2">
      <c r="B55" s="15"/>
      <c r="C55" s="15"/>
      <c r="D55" s="15"/>
      <c r="E55" s="15"/>
      <c r="F55" s="15"/>
      <c r="G55" s="15"/>
      <c r="H55" s="15"/>
      <c r="I55" s="15"/>
      <c r="J55" s="15"/>
      <c r="K55" s="15"/>
      <c r="L55" s="15"/>
      <c r="M55" s="15"/>
      <c r="N55" s="15"/>
      <c r="O55" s="15"/>
      <c r="P55" s="15"/>
      <c r="Q55" s="15"/>
      <c r="R55" s="22"/>
      <c r="S55" s="15"/>
      <c r="T55" s="15"/>
    </row>
    <row r="56" spans="2:20" x14ac:dyDescent="0.2">
      <c r="B56" s="15"/>
      <c r="C56" s="8" t="s">
        <v>603</v>
      </c>
      <c r="D56" s="15"/>
      <c r="E56" s="15"/>
      <c r="F56" s="9">
        <f t="shared" ref="F56:L56" si="9">F36+F41</f>
        <v>317.72121520000007</v>
      </c>
      <c r="G56" s="9">
        <f t="shared" si="9"/>
        <v>347.03477438399995</v>
      </c>
      <c r="H56" s="9">
        <f t="shared" si="9"/>
        <v>374.89005435698971</v>
      </c>
      <c r="I56" s="9">
        <f t="shared" si="9"/>
        <v>400.35275284327224</v>
      </c>
      <c r="J56" s="9">
        <f t="shared" si="9"/>
        <v>422.12588846009766</v>
      </c>
      <c r="K56" s="9">
        <f t="shared" si="9"/>
        <v>439.50703857319752</v>
      </c>
      <c r="L56" s="9">
        <f t="shared" si="9"/>
        <v>454.6279086315011</v>
      </c>
      <c r="M56" s="15"/>
      <c r="N56" s="9">
        <f>N36+N41</f>
        <v>467.35749007318316</v>
      </c>
      <c r="O56" s="9">
        <f>O36+O41</f>
        <v>477.19184652452998</v>
      </c>
      <c r="P56" s="9">
        <f>P36+P41</f>
        <v>487.92866307133193</v>
      </c>
      <c r="Q56" s="15"/>
      <c r="R56" s="22"/>
      <c r="S56" s="15"/>
      <c r="T56" s="15"/>
    </row>
    <row r="57" spans="2:20" x14ac:dyDescent="0.2">
      <c r="B57" s="15"/>
      <c r="C57" s="15"/>
      <c r="D57" s="15"/>
      <c r="E57" s="15"/>
      <c r="F57" s="15"/>
      <c r="G57" s="15"/>
      <c r="H57" s="15"/>
      <c r="I57" s="15"/>
      <c r="J57" s="15"/>
      <c r="K57" s="15"/>
      <c r="L57" s="15"/>
      <c r="M57" s="15"/>
      <c r="N57" s="15"/>
      <c r="O57" s="15"/>
      <c r="P57" s="15"/>
      <c r="Q57" s="15"/>
      <c r="R57" s="22"/>
      <c r="S57" s="15"/>
      <c r="T57" s="15"/>
    </row>
    <row r="58" spans="2:20" x14ac:dyDescent="0.2">
      <c r="B58" s="15"/>
      <c r="C58" s="15"/>
      <c r="D58" s="15"/>
      <c r="E58" s="15"/>
      <c r="F58" s="15"/>
      <c r="G58" s="15"/>
      <c r="H58" s="15"/>
      <c r="I58" s="15"/>
      <c r="J58" s="15"/>
      <c r="K58" s="15"/>
      <c r="L58" s="15"/>
      <c r="M58" s="15"/>
      <c r="N58" s="15"/>
      <c r="O58" s="15"/>
      <c r="P58" s="15"/>
      <c r="Q58" s="15"/>
      <c r="R58" s="22"/>
      <c r="S58" s="15"/>
      <c r="T58" s="15"/>
    </row>
    <row r="59" spans="2:20" x14ac:dyDescent="0.2">
      <c r="B59" s="19" t="s">
        <v>604</v>
      </c>
      <c r="C59" s="19"/>
      <c r="D59" s="20"/>
      <c r="E59" s="19"/>
      <c r="F59" s="19"/>
      <c r="G59" s="19"/>
      <c r="H59" s="19"/>
      <c r="I59" s="19"/>
      <c r="J59" s="19"/>
      <c r="K59" s="19"/>
      <c r="L59" s="19"/>
      <c r="M59" s="22" t="s">
        <v>605</v>
      </c>
      <c r="N59" s="15"/>
      <c r="O59" s="15"/>
      <c r="P59" s="15"/>
      <c r="Q59" s="15"/>
      <c r="R59" s="22"/>
      <c r="S59" s="15"/>
      <c r="T59" s="15"/>
    </row>
    <row r="60" spans="2:20" x14ac:dyDescent="0.2">
      <c r="B60" s="15"/>
      <c r="C60" s="15"/>
      <c r="D60" s="15"/>
      <c r="E60" s="15"/>
      <c r="F60" s="15"/>
      <c r="G60" s="15"/>
      <c r="H60" s="15"/>
      <c r="I60" s="15"/>
      <c r="J60" s="15"/>
      <c r="K60" s="15"/>
      <c r="L60" s="15"/>
      <c r="M60" s="15"/>
      <c r="N60" s="15"/>
      <c r="O60" s="15"/>
      <c r="P60" s="15"/>
      <c r="Q60" s="15"/>
      <c r="R60" s="22"/>
      <c r="S60" s="15"/>
      <c r="T60" s="15"/>
    </row>
    <row r="61" spans="2:20" x14ac:dyDescent="0.2">
      <c r="B61" s="15"/>
      <c r="C61" s="136" t="s">
        <v>606</v>
      </c>
      <c r="D61" s="15"/>
      <c r="E61" s="15"/>
      <c r="F61" s="15"/>
      <c r="G61" s="15"/>
      <c r="H61" s="15"/>
      <c r="I61" s="15"/>
      <c r="J61" s="15"/>
      <c r="K61" s="15"/>
      <c r="L61" s="15"/>
      <c r="M61" s="15"/>
      <c r="N61" s="15"/>
      <c r="O61" s="15"/>
      <c r="P61" s="15"/>
      <c r="Q61" s="15"/>
      <c r="R61" s="22"/>
      <c r="S61" s="15"/>
      <c r="T61" s="15"/>
    </row>
    <row r="62" spans="2:20" x14ac:dyDescent="0.2">
      <c r="B62" s="15"/>
      <c r="C62" s="15"/>
      <c r="D62" s="15"/>
      <c r="E62" s="15"/>
      <c r="F62" s="137" t="s">
        <v>559</v>
      </c>
      <c r="G62" s="15"/>
      <c r="H62" s="15"/>
      <c r="I62" s="15"/>
      <c r="J62" s="15"/>
      <c r="K62" s="15"/>
      <c r="L62" s="15"/>
      <c r="M62" s="15"/>
      <c r="N62" s="15"/>
      <c r="O62" s="15"/>
      <c r="P62" s="15"/>
      <c r="Q62" s="15"/>
      <c r="R62" s="22"/>
      <c r="S62" s="15"/>
      <c r="T62" s="15"/>
    </row>
    <row r="63" spans="2:20" x14ac:dyDescent="0.2">
      <c r="B63" s="15"/>
      <c r="C63" s="15"/>
      <c r="D63" s="15"/>
      <c r="E63" s="150">
        <f>E25</f>
        <v>47.655895370938431</v>
      </c>
      <c r="F63" s="151">
        <v>1.2500000000000001E-2</v>
      </c>
      <c r="G63" s="151">
        <v>1.7500000000000002E-2</v>
      </c>
      <c r="H63" s="151">
        <v>2.2499999999999999E-2</v>
      </c>
      <c r="I63" s="151">
        <v>2.75E-2</v>
      </c>
      <c r="J63" s="151">
        <v>3.2500000000000001E-2</v>
      </c>
      <c r="K63" s="15"/>
      <c r="L63" s="15"/>
      <c r="M63" s="15"/>
      <c r="N63" s="15"/>
      <c r="O63" s="15"/>
      <c r="P63" s="15"/>
      <c r="Q63" s="15"/>
      <c r="R63" s="22"/>
      <c r="S63" s="15"/>
      <c r="T63" s="15"/>
    </row>
    <row r="64" spans="2:20" x14ac:dyDescent="0.2">
      <c r="B64" s="15"/>
      <c r="C64" s="15"/>
      <c r="D64" s="15"/>
      <c r="E64" s="151">
        <v>0.09</v>
      </c>
      <c r="F64" s="132">
        <f t="dataTable" ref="F64:J70" dt2D="1" dtr="1" r1="E9" r2="E7" ca="1"/>
        <v>54.798982147986202</v>
      </c>
      <c r="G64" s="132">
        <v>57.152422329325987</v>
      </c>
      <c r="H64" s="132">
        <v>59.854520315308669</v>
      </c>
      <c r="I64" s="132">
        <v>62.988953979048624</v>
      </c>
      <c r="J64" s="132">
        <v>66.668506540830293</v>
      </c>
      <c r="K64" s="15"/>
      <c r="L64" s="15"/>
      <c r="M64" s="15"/>
      <c r="N64" s="15"/>
      <c r="O64" s="15"/>
      <c r="P64" s="15"/>
      <c r="Q64" s="15"/>
      <c r="R64" s="22"/>
      <c r="S64" s="15"/>
      <c r="T64" s="15"/>
    </row>
    <row r="65" spans="2:20" x14ac:dyDescent="0.2">
      <c r="B65" s="15"/>
      <c r="C65" s="15"/>
      <c r="D65" s="15"/>
      <c r="E65" s="151">
        <v>9.5000000000000001E-2</v>
      </c>
      <c r="F65" s="132">
        <v>51.136923639759424</v>
      </c>
      <c r="G65" s="132">
        <v>53.130745036012343</v>
      </c>
      <c r="H65" s="132">
        <v>55.39957628002427</v>
      </c>
      <c r="I65" s="132">
        <v>58.004530671297239</v>
      </c>
      <c r="J65" s="132">
        <v>61.02627776517388</v>
      </c>
      <c r="K65" s="15"/>
      <c r="L65" s="15"/>
      <c r="M65" s="15"/>
      <c r="N65" s="15"/>
      <c r="O65" s="15"/>
      <c r="P65" s="15"/>
      <c r="Q65" s="15"/>
      <c r="R65" s="22"/>
      <c r="S65" s="15"/>
      <c r="T65" s="15"/>
    </row>
    <row r="66" spans="2:20" x14ac:dyDescent="0.2">
      <c r="B66" s="15"/>
      <c r="C66" s="137" t="s">
        <v>607</v>
      </c>
      <c r="D66" s="15"/>
      <c r="E66" s="151">
        <v>0.1</v>
      </c>
      <c r="F66" s="132">
        <v>47.898635644197263</v>
      </c>
      <c r="G66" s="132">
        <v>49.601387545339513</v>
      </c>
      <c r="H66" s="132">
        <v>51.523849369209771</v>
      </c>
      <c r="I66" s="132">
        <v>53.711478341200078</v>
      </c>
      <c r="J66" s="132">
        <v>56.223200494225992</v>
      </c>
      <c r="K66" s="15"/>
      <c r="L66" s="15"/>
      <c r="M66" s="15"/>
      <c r="N66" s="15"/>
      <c r="O66" s="15"/>
      <c r="P66" s="15"/>
      <c r="Q66" s="15"/>
      <c r="R66" s="22"/>
      <c r="S66" s="15"/>
      <c r="T66" s="15"/>
    </row>
    <row r="67" spans="2:20" x14ac:dyDescent="0.2">
      <c r="B67" s="15"/>
      <c r="C67" s="15"/>
      <c r="D67" s="15"/>
      <c r="E67" s="151">
        <v>0.105</v>
      </c>
      <c r="F67" s="132">
        <v>45.015092541413559</v>
      </c>
      <c r="G67" s="132">
        <v>46.479651456306833</v>
      </c>
      <c r="H67" s="132">
        <v>48.121732663914436</v>
      </c>
      <c r="I67" s="132">
        <v>49.975695317664957</v>
      </c>
      <c r="J67" s="132">
        <v>52.08537695813969</v>
      </c>
      <c r="K67" s="15"/>
      <c r="L67" s="15"/>
      <c r="M67" s="15"/>
      <c r="N67" s="15"/>
      <c r="O67" s="15"/>
      <c r="P67" s="15"/>
      <c r="Q67" s="15"/>
      <c r="R67" s="22"/>
      <c r="S67" s="15"/>
      <c r="T67" s="15"/>
    </row>
    <row r="68" spans="2:20" x14ac:dyDescent="0.2">
      <c r="B68" s="15"/>
      <c r="C68" s="15"/>
      <c r="D68" s="15"/>
      <c r="E68" s="151">
        <v>0.11</v>
      </c>
      <c r="F68" s="132">
        <v>42.431446541257948</v>
      </c>
      <c r="G68" s="132">
        <v>43.699170441065796</v>
      </c>
      <c r="H68" s="132">
        <v>45.111777072280248</v>
      </c>
      <c r="I68" s="132">
        <v>46.695608749702508</v>
      </c>
      <c r="J68" s="132">
        <v>48.483805804856672</v>
      </c>
      <c r="K68" s="15"/>
      <c r="L68" s="15"/>
      <c r="M68" s="15"/>
      <c r="N68" s="15"/>
      <c r="O68" s="15"/>
      <c r="P68" s="15"/>
      <c r="Q68" s="15"/>
      <c r="R68" s="22"/>
      <c r="S68" s="15"/>
      <c r="T68" s="15"/>
    </row>
    <row r="69" spans="2:20" x14ac:dyDescent="0.2">
      <c r="B69" s="15"/>
      <c r="C69" s="15"/>
      <c r="D69" s="15"/>
      <c r="E69" s="151">
        <v>0.115</v>
      </c>
      <c r="F69" s="132">
        <v>40.103568480797186</v>
      </c>
      <c r="G69" s="132">
        <v>41.207208490940658</v>
      </c>
      <c r="H69" s="132">
        <v>42.430160934613156</v>
      </c>
      <c r="I69" s="132">
        <v>43.792879371848223</v>
      </c>
      <c r="J69" s="132">
        <v>45.320775801475406</v>
      </c>
      <c r="K69" s="15"/>
      <c r="L69" s="15"/>
      <c r="M69" s="15"/>
      <c r="N69" s="15"/>
      <c r="O69" s="15"/>
      <c r="P69" s="15"/>
      <c r="Q69" s="15"/>
      <c r="R69" s="22"/>
      <c r="S69" s="15"/>
      <c r="T69" s="15"/>
    </row>
    <row r="70" spans="2:20" x14ac:dyDescent="0.2">
      <c r="B70" s="15"/>
      <c r="C70" s="15"/>
      <c r="D70" s="15"/>
      <c r="E70" s="151">
        <v>0.12</v>
      </c>
      <c r="F70" s="132">
        <v>37.995554060215539</v>
      </c>
      <c r="G70" s="132">
        <v>38.961334367494317</v>
      </c>
      <c r="H70" s="132">
        <v>40.026169065263218</v>
      </c>
      <c r="I70" s="132">
        <v>41.206121027655804</v>
      </c>
      <c r="J70" s="132">
        <v>42.520924642893242</v>
      </c>
      <c r="K70" s="15"/>
      <c r="L70" s="15"/>
      <c r="M70" s="15"/>
      <c r="N70" s="15"/>
      <c r="O70" s="15"/>
      <c r="P70" s="15"/>
      <c r="Q70" s="15"/>
      <c r="R70" s="22"/>
      <c r="S70" s="15"/>
      <c r="T70" s="15"/>
    </row>
    <row r="71" spans="2:20" x14ac:dyDescent="0.2">
      <c r="B71" s="15"/>
      <c r="C71" s="15"/>
      <c r="D71" s="15"/>
      <c r="E71" s="15"/>
      <c r="F71" s="15"/>
      <c r="G71" s="15"/>
      <c r="H71" s="15"/>
      <c r="I71" s="15"/>
      <c r="J71" s="15"/>
      <c r="K71" s="15"/>
      <c r="L71" s="15"/>
      <c r="M71" s="15"/>
      <c r="N71" s="15"/>
      <c r="O71" s="15"/>
      <c r="P71" s="15"/>
      <c r="Q71" s="15"/>
      <c r="R71" s="22"/>
      <c r="S71" s="15"/>
      <c r="T71" s="15"/>
    </row>
    <row r="72" spans="2:20" x14ac:dyDescent="0.2">
      <c r="B72" s="15"/>
      <c r="C72" s="15"/>
      <c r="D72" s="15"/>
      <c r="E72" s="15"/>
      <c r="F72" s="15"/>
      <c r="G72" s="15"/>
      <c r="H72" s="15"/>
      <c r="I72" s="15"/>
      <c r="J72" s="15"/>
      <c r="K72" s="15"/>
      <c r="L72" s="15"/>
      <c r="M72" s="15"/>
      <c r="N72" s="15"/>
      <c r="O72" s="15"/>
      <c r="P72" s="15"/>
      <c r="Q72" s="15"/>
      <c r="R72" s="22"/>
      <c r="S72" s="15"/>
      <c r="T72" s="15"/>
    </row>
    <row r="73" spans="2:20" x14ac:dyDescent="0.2">
      <c r="B73" s="15"/>
      <c r="C73" s="136" t="s">
        <v>608</v>
      </c>
      <c r="D73" s="15"/>
      <c r="E73" s="15"/>
      <c r="F73" s="15"/>
      <c r="G73" s="15"/>
      <c r="H73" s="15"/>
      <c r="I73" s="15"/>
      <c r="J73" s="15"/>
      <c r="K73" s="15"/>
      <c r="L73" s="15"/>
      <c r="M73" s="15"/>
      <c r="N73" s="15"/>
      <c r="O73" s="15"/>
      <c r="P73" s="15"/>
      <c r="Q73" s="15"/>
      <c r="R73" s="22"/>
      <c r="S73" s="15"/>
      <c r="T73" s="15"/>
    </row>
    <row r="74" spans="2:20" x14ac:dyDescent="0.2">
      <c r="B74" s="15"/>
      <c r="C74" s="15"/>
      <c r="D74" s="15"/>
      <c r="E74" s="15"/>
      <c r="F74" s="137" t="s">
        <v>561</v>
      </c>
      <c r="G74" s="15"/>
      <c r="H74" s="15"/>
      <c r="I74" s="15"/>
      <c r="J74" s="15"/>
      <c r="K74" s="15"/>
      <c r="L74" s="15"/>
      <c r="M74" s="15"/>
      <c r="N74" s="15"/>
      <c r="O74" s="15"/>
      <c r="P74" s="15"/>
      <c r="Q74" s="15"/>
      <c r="R74" s="22"/>
      <c r="S74" s="15"/>
      <c r="T74" s="15"/>
    </row>
    <row r="75" spans="2:20" x14ac:dyDescent="0.2">
      <c r="B75" s="15"/>
      <c r="C75" s="15"/>
      <c r="D75" s="15"/>
      <c r="E75" s="150">
        <f>G25</f>
        <v>51.649145165229207</v>
      </c>
      <c r="F75" s="152">
        <v>7.5</v>
      </c>
      <c r="G75" s="152">
        <v>8</v>
      </c>
      <c r="H75" s="152">
        <v>8.5</v>
      </c>
      <c r="I75" s="152">
        <v>9</v>
      </c>
      <c r="J75" s="152">
        <v>9.5</v>
      </c>
      <c r="K75" s="15"/>
      <c r="L75" s="15"/>
      <c r="M75" s="15"/>
      <c r="N75" s="15"/>
      <c r="O75" s="15"/>
      <c r="P75" s="15"/>
      <c r="Q75" s="15"/>
      <c r="R75" s="22"/>
      <c r="S75" s="15"/>
      <c r="T75" s="15"/>
    </row>
    <row r="76" spans="2:20" x14ac:dyDescent="0.2">
      <c r="B76" s="15"/>
      <c r="C76" s="15"/>
      <c r="D76" s="15"/>
      <c r="E76" s="151">
        <v>0.09</v>
      </c>
      <c r="F76" s="132">
        <f t="dataTable" ref="F76:J82" dt2D="1" dtr="1" r1="E10" r2="E7"/>
        <v>53.408175484508696</v>
      </c>
      <c r="G76" s="132">
        <v>55.428693184759709</v>
      </c>
      <c r="H76" s="132">
        <v>57.449210885010721</v>
      </c>
      <c r="I76" s="132">
        <v>59.469728585261748</v>
      </c>
      <c r="J76" s="132">
        <v>61.490246285512754</v>
      </c>
      <c r="K76" s="15"/>
      <c r="L76" s="15"/>
      <c r="M76" s="15"/>
      <c r="N76" s="15"/>
      <c r="O76" s="15"/>
      <c r="P76" s="15"/>
      <c r="Q76" s="15"/>
      <c r="R76" s="22"/>
      <c r="S76" s="15"/>
      <c r="T76" s="15"/>
    </row>
    <row r="77" spans="2:20" x14ac:dyDescent="0.2">
      <c r="B77" s="15"/>
      <c r="C77" s="15"/>
      <c r="D77" s="15"/>
      <c r="E77" s="151">
        <v>9.5000000000000001E-2</v>
      </c>
      <c r="F77" s="132">
        <v>51.645842484237178</v>
      </c>
      <c r="G77" s="132">
        <v>53.584825782389231</v>
      </c>
      <c r="H77" s="132">
        <v>55.52380908054127</v>
      </c>
      <c r="I77" s="132">
        <v>57.462792378693308</v>
      </c>
      <c r="J77" s="132">
        <v>59.401775676845347</v>
      </c>
      <c r="K77" s="15"/>
      <c r="L77" s="15"/>
      <c r="M77" s="15"/>
      <c r="N77" s="15"/>
      <c r="O77" s="15"/>
      <c r="P77" s="15"/>
      <c r="Q77" s="15"/>
      <c r="R77" s="22"/>
      <c r="S77" s="15"/>
      <c r="T77" s="15"/>
    </row>
    <row r="78" spans="2:20" x14ac:dyDescent="0.2">
      <c r="B78" s="15"/>
      <c r="C78" s="137" t="s">
        <v>607</v>
      </c>
      <c r="D78" s="15"/>
      <c r="E78" s="151">
        <v>0.1</v>
      </c>
      <c r="F78" s="132">
        <v>49.95441535575398</v>
      </c>
      <c r="G78" s="132">
        <v>51.815503636430947</v>
      </c>
      <c r="H78" s="132">
        <v>53.676591917107913</v>
      </c>
      <c r="I78" s="132">
        <v>55.53768019778488</v>
      </c>
      <c r="J78" s="132">
        <v>57.398768478461847</v>
      </c>
      <c r="K78" s="15"/>
      <c r="L78" s="15"/>
      <c r="M78" s="15"/>
      <c r="N78" s="15"/>
      <c r="O78" s="15"/>
      <c r="P78" s="15"/>
      <c r="Q78" s="15"/>
      <c r="R78" s="22"/>
      <c r="S78" s="15"/>
      <c r="T78" s="15"/>
    </row>
    <row r="79" spans="2:20" x14ac:dyDescent="0.2">
      <c r="B79" s="15"/>
      <c r="C79" s="15"/>
      <c r="D79" s="15"/>
      <c r="E79" s="151">
        <v>0.105</v>
      </c>
      <c r="F79" s="132">
        <v>48.33061220422703</v>
      </c>
      <c r="G79" s="132">
        <v>50.117266955398918</v>
      </c>
      <c r="H79" s="132">
        <v>51.903921706570813</v>
      </c>
      <c r="I79" s="132">
        <v>53.690576457742701</v>
      </c>
      <c r="J79" s="132">
        <v>55.477231208914581</v>
      </c>
      <c r="K79" s="15"/>
      <c r="L79" s="15"/>
      <c r="M79" s="15"/>
      <c r="N79" s="15"/>
      <c r="O79" s="15"/>
      <c r="P79" s="15"/>
      <c r="Q79" s="15"/>
      <c r="R79" s="22"/>
      <c r="S79" s="15"/>
      <c r="T79" s="15"/>
    </row>
    <row r="80" spans="2:20" x14ac:dyDescent="0.2">
      <c r="B80" s="15"/>
      <c r="C80" s="15"/>
      <c r="D80" s="15"/>
      <c r="E80" s="151">
        <v>0.11</v>
      </c>
      <c r="F80" s="132">
        <v>46.77131958965078</v>
      </c>
      <c r="G80" s="132">
        <v>48.486833846827459</v>
      </c>
      <c r="H80" s="132">
        <v>50.202348104004137</v>
      </c>
      <c r="I80" s="132">
        <v>51.917862361180802</v>
      </c>
      <c r="J80" s="132">
        <v>53.633376618357474</v>
      </c>
      <c r="K80" s="15"/>
      <c r="L80" s="15"/>
      <c r="M80" s="15"/>
      <c r="N80" s="15"/>
      <c r="O80" s="15"/>
      <c r="P80" s="15"/>
      <c r="Q80" s="15"/>
      <c r="R80" s="22"/>
      <c r="S80" s="15"/>
      <c r="T80" s="15"/>
    </row>
    <row r="81" spans="2:20" x14ac:dyDescent="0.2">
      <c r="B81" s="15"/>
      <c r="C81" s="15"/>
      <c r="D81" s="15"/>
      <c r="E81" s="151">
        <v>0.115</v>
      </c>
      <c r="F81" s="132">
        <v>45.273583100027999</v>
      </c>
      <c r="G81" s="132">
        <v>46.921090349696911</v>
      </c>
      <c r="H81" s="132">
        <v>48.568597599365809</v>
      </c>
      <c r="I81" s="132">
        <v>50.216104849034721</v>
      </c>
      <c r="J81" s="132">
        <v>51.863612098703619</v>
      </c>
      <c r="K81" s="15"/>
      <c r="L81" s="15"/>
      <c r="M81" s="15"/>
      <c r="N81" s="15"/>
      <c r="O81" s="15"/>
      <c r="P81" s="15"/>
      <c r="Q81" s="15"/>
      <c r="R81" s="22"/>
      <c r="S81" s="15"/>
      <c r="T81" s="15"/>
    </row>
    <row r="82" spans="2:20" x14ac:dyDescent="0.2">
      <c r="B82" s="15"/>
      <c r="C82" s="15"/>
      <c r="D82" s="15"/>
      <c r="E82" s="151">
        <v>0.12</v>
      </c>
      <c r="F82" s="132">
        <v>43.8345984937312</v>
      </c>
      <c r="G82" s="132">
        <v>45.417081069236723</v>
      </c>
      <c r="H82" s="132">
        <v>46.999563644742238</v>
      </c>
      <c r="I82" s="132">
        <v>48.582046220247761</v>
      </c>
      <c r="J82" s="132">
        <v>50.164528795753263</v>
      </c>
      <c r="K82" s="15"/>
      <c r="L82" s="15"/>
      <c r="M82" s="15"/>
      <c r="N82" s="15"/>
      <c r="O82" s="15"/>
      <c r="P82" s="15"/>
      <c r="Q82" s="15"/>
      <c r="R82" s="22"/>
      <c r="S82" s="15"/>
      <c r="T82" s="15"/>
    </row>
    <row r="83" spans="2:20" x14ac:dyDescent="0.2">
      <c r="B83" s="15"/>
      <c r="C83" s="15"/>
      <c r="D83" s="15"/>
      <c r="E83" s="15"/>
      <c r="F83" s="15"/>
      <c r="G83" s="15"/>
      <c r="H83" s="15"/>
      <c r="I83" s="15"/>
      <c r="J83" s="15"/>
      <c r="K83" s="15"/>
      <c r="L83" s="15"/>
      <c r="M83" s="15"/>
      <c r="N83" s="15"/>
      <c r="O83" s="15"/>
      <c r="P83" s="15"/>
      <c r="Q83" s="15"/>
      <c r="R83" s="22"/>
      <c r="S83" s="15"/>
      <c r="T83" s="15"/>
    </row>
    <row r="84" spans="2:20" x14ac:dyDescent="0.2">
      <c r="B84" s="15"/>
      <c r="C84" s="15"/>
      <c r="D84" s="15"/>
      <c r="E84" s="15"/>
      <c r="F84" s="15"/>
      <c r="G84" s="15"/>
      <c r="H84" s="15"/>
      <c r="I84" s="15"/>
      <c r="J84" s="15"/>
      <c r="K84" s="15"/>
      <c r="L84" s="15"/>
      <c r="M84" s="15"/>
      <c r="N84" s="15"/>
      <c r="O84" s="15"/>
      <c r="P84" s="15"/>
      <c r="Q84" s="15"/>
      <c r="R84" s="22"/>
      <c r="S84" s="15"/>
      <c r="T84" s="15"/>
    </row>
    <row r="85" spans="2:20" x14ac:dyDescent="0.2">
      <c r="B85" s="15"/>
      <c r="C85" s="15"/>
      <c r="D85" s="15"/>
      <c r="E85" s="15"/>
      <c r="F85" s="15"/>
      <c r="G85" s="15"/>
      <c r="H85" s="15"/>
      <c r="I85" s="15"/>
      <c r="J85" s="15"/>
      <c r="K85" s="15"/>
      <c r="L85" s="15"/>
      <c r="M85" s="15"/>
      <c r="N85" s="15"/>
      <c r="O85" s="15"/>
      <c r="P85" s="15"/>
      <c r="Q85" s="15"/>
      <c r="R85" s="22"/>
      <c r="S85" s="15"/>
      <c r="T85" s="15"/>
    </row>
    <row r="86" spans="2:20" x14ac:dyDescent="0.2">
      <c r="B86" s="19" t="s">
        <v>609</v>
      </c>
      <c r="C86" s="19"/>
      <c r="D86" s="20"/>
      <c r="E86" s="19"/>
      <c r="F86" s="19"/>
      <c r="G86" s="19"/>
      <c r="H86" s="19"/>
      <c r="I86" s="19"/>
      <c r="J86" s="19"/>
      <c r="K86" s="19"/>
      <c r="L86" s="19"/>
      <c r="M86" s="22" t="s">
        <v>610</v>
      </c>
      <c r="N86" s="15"/>
      <c r="O86" s="15"/>
      <c r="P86" s="15"/>
      <c r="Q86" s="15"/>
      <c r="R86" s="22"/>
      <c r="S86" s="15"/>
      <c r="T86" s="15"/>
    </row>
    <row r="87" spans="2:20" x14ac:dyDescent="0.2">
      <c r="B87" s="15"/>
      <c r="C87" s="15"/>
      <c r="D87" s="15"/>
      <c r="E87" s="15"/>
      <c r="F87" s="15"/>
      <c r="G87" s="15"/>
      <c r="H87" s="15"/>
      <c r="I87" s="15"/>
      <c r="J87" s="15"/>
      <c r="K87" s="15"/>
      <c r="L87" s="15"/>
      <c r="M87" s="15"/>
      <c r="N87" s="15"/>
      <c r="O87" s="15"/>
      <c r="P87" s="15"/>
      <c r="Q87" s="15"/>
      <c r="R87" s="22"/>
      <c r="S87" s="15"/>
      <c r="T87" s="15"/>
    </row>
    <row r="88" spans="2:20" x14ac:dyDescent="0.2">
      <c r="B88" s="15"/>
      <c r="C88" s="8" t="s">
        <v>320</v>
      </c>
      <c r="D88" s="15"/>
      <c r="E88" s="108">
        <f>Merger_Model!$E$23</f>
        <v>2984.2793282500529</v>
      </c>
      <c r="F88" s="15"/>
      <c r="G88" s="15"/>
      <c r="H88" s="15"/>
      <c r="I88" s="15"/>
      <c r="J88" s="15"/>
      <c r="K88" s="15"/>
      <c r="L88" s="15"/>
      <c r="M88" s="15"/>
      <c r="N88" s="15"/>
      <c r="O88" s="15"/>
      <c r="P88" s="15"/>
      <c r="Q88" s="15"/>
      <c r="R88" s="22"/>
      <c r="S88" s="15"/>
      <c r="T88" s="15"/>
    </row>
    <row r="89" spans="2:20" x14ac:dyDescent="0.2">
      <c r="B89" s="15"/>
      <c r="C89" s="8" t="s">
        <v>611</v>
      </c>
      <c r="D89" s="15"/>
      <c r="E89" s="146">
        <f>WACC!F44</f>
        <v>0.10390377730707652</v>
      </c>
      <c r="F89" s="15"/>
      <c r="G89" s="15"/>
      <c r="H89" s="15"/>
      <c r="I89" s="15"/>
      <c r="J89" s="15"/>
      <c r="K89" s="15"/>
      <c r="L89" s="15"/>
      <c r="M89" s="15"/>
      <c r="N89" s="15"/>
      <c r="O89" s="15"/>
      <c r="P89" s="15"/>
      <c r="Q89" s="15"/>
      <c r="R89" s="22"/>
      <c r="S89" s="15"/>
      <c r="T89" s="15"/>
    </row>
    <row r="90" spans="2:20" x14ac:dyDescent="0.2">
      <c r="B90" s="15"/>
      <c r="C90" s="8" t="s">
        <v>612</v>
      </c>
      <c r="D90" s="15"/>
      <c r="E90" s="146">
        <f>Synergies!$E$47</f>
        <v>1.4999999999999999E-2</v>
      </c>
      <c r="F90" s="15"/>
      <c r="G90" s="15"/>
      <c r="H90" s="15"/>
      <c r="I90" s="15"/>
      <c r="J90" s="15"/>
      <c r="K90" s="15"/>
      <c r="L90" s="15"/>
      <c r="M90" s="15"/>
      <c r="N90" s="15"/>
      <c r="O90" s="15"/>
      <c r="P90" s="15"/>
      <c r="Q90" s="15"/>
      <c r="R90" s="22"/>
      <c r="S90" s="15"/>
      <c r="T90" s="15"/>
    </row>
    <row r="91" spans="2:20" x14ac:dyDescent="0.2">
      <c r="B91" s="15"/>
      <c r="C91" s="8" t="s">
        <v>613</v>
      </c>
      <c r="D91" s="15"/>
      <c r="E91" s="145">
        <f>Merger_Model!$E$12</f>
        <v>1</v>
      </c>
      <c r="F91" s="15"/>
      <c r="G91" s="15"/>
      <c r="H91" s="15"/>
      <c r="I91" s="15"/>
      <c r="J91" s="15"/>
      <c r="K91" s="15"/>
      <c r="L91" s="15"/>
      <c r="M91" s="15"/>
      <c r="N91" s="15"/>
      <c r="O91" s="15"/>
      <c r="P91" s="15"/>
      <c r="Q91" s="15"/>
      <c r="R91" s="22"/>
      <c r="S91" s="15"/>
      <c r="T91" s="15"/>
    </row>
    <row r="92" spans="2:20" x14ac:dyDescent="0.2">
      <c r="B92" s="15"/>
      <c r="C92" s="15"/>
      <c r="D92" s="15"/>
      <c r="E92" s="15"/>
      <c r="F92" s="15"/>
      <c r="G92" s="15"/>
      <c r="H92" s="15"/>
      <c r="I92" s="15"/>
      <c r="J92" s="15"/>
      <c r="K92" s="15"/>
      <c r="L92" s="15"/>
      <c r="M92" s="15"/>
      <c r="N92" s="15"/>
      <c r="O92" s="15"/>
      <c r="P92" s="15"/>
      <c r="Q92" s="15"/>
      <c r="R92" s="22"/>
      <c r="S92" s="15"/>
      <c r="T92" s="15"/>
    </row>
    <row r="93" spans="2:20" x14ac:dyDescent="0.2">
      <c r="B93" s="15"/>
      <c r="C93" s="15"/>
      <c r="D93" s="15"/>
      <c r="E93" s="15"/>
      <c r="F93" s="57" t="s">
        <v>614</v>
      </c>
      <c r="G93" s="57" t="s">
        <v>135</v>
      </c>
      <c r="H93" s="57" t="s">
        <v>136</v>
      </c>
      <c r="I93" s="57" t="s">
        <v>137</v>
      </c>
      <c r="J93" s="57" t="s">
        <v>138</v>
      </c>
      <c r="K93" s="57" t="s">
        <v>139</v>
      </c>
      <c r="L93" s="15"/>
      <c r="M93" s="15"/>
      <c r="N93" s="15"/>
      <c r="O93" s="15"/>
      <c r="P93" s="15"/>
      <c r="Q93" s="15"/>
      <c r="R93" s="22"/>
      <c r="S93" s="15"/>
      <c r="T93" s="15"/>
    </row>
    <row r="94" spans="2:20" x14ac:dyDescent="0.2">
      <c r="B94" s="15"/>
      <c r="C94" s="8" t="s">
        <v>615</v>
      </c>
      <c r="D94" s="15"/>
      <c r="E94" s="15"/>
      <c r="F94" s="15"/>
      <c r="G94" s="9">
        <f>G49</f>
        <v>202.08778806498015</v>
      </c>
      <c r="H94" s="9">
        <f>H49</f>
        <v>221.88657230226931</v>
      </c>
      <c r="I94" s="9">
        <f>I49</f>
        <v>238.57283240527212</v>
      </c>
      <c r="J94" s="9">
        <f>J49</f>
        <v>255.73623806133395</v>
      </c>
      <c r="K94" s="9">
        <f>K49</f>
        <v>266.42122308179165</v>
      </c>
      <c r="L94" s="15"/>
      <c r="M94" s="15"/>
      <c r="N94" s="15"/>
      <c r="O94" s="15"/>
      <c r="P94" s="15"/>
      <c r="Q94" s="15"/>
      <c r="R94" s="22"/>
      <c r="S94" s="15"/>
      <c r="T94" s="15"/>
    </row>
    <row r="95" spans="2:20" x14ac:dyDescent="0.2">
      <c r="B95" s="15"/>
      <c r="C95" s="8" t="s">
        <v>616</v>
      </c>
      <c r="D95" s="15"/>
      <c r="E95" s="15"/>
      <c r="F95" s="15"/>
      <c r="G95" s="108">
        <f>Synergies!G42</f>
        <v>2.4365030472202038</v>
      </c>
      <c r="H95" s="108">
        <f>Synergies!H42</f>
        <v>53.103802559280567</v>
      </c>
      <c r="I95" s="108">
        <f>Synergies!I42</f>
        <v>96.917656757502229</v>
      </c>
      <c r="J95" s="108">
        <f>Synergies!J42</f>
        <v>104.96981615293929</v>
      </c>
      <c r="K95" s="108">
        <f>Synergies!K42</f>
        <v>108.04740461952684</v>
      </c>
      <c r="L95" s="15"/>
      <c r="M95" s="15"/>
      <c r="N95" s="15"/>
      <c r="O95" s="15"/>
      <c r="P95" s="15"/>
      <c r="Q95" s="15"/>
      <c r="R95" s="22"/>
      <c r="S95" s="15"/>
      <c r="T95" s="15"/>
    </row>
    <row r="96" spans="2:20" x14ac:dyDescent="0.2">
      <c r="B96" s="15"/>
      <c r="C96" s="8" t="s">
        <v>618</v>
      </c>
      <c r="D96" s="15"/>
      <c r="E96" s="15"/>
      <c r="F96" s="15"/>
      <c r="G96" s="15"/>
      <c r="H96" s="15"/>
      <c r="I96" s="15"/>
      <c r="J96" s="15"/>
      <c r="K96" s="9">
        <f>(K94+K95)*(1+$E$90)/($E$89-$E$90)</f>
        <v>4275.2475612370226</v>
      </c>
      <c r="L96" s="15"/>
      <c r="M96" s="15"/>
      <c r="N96" s="15"/>
      <c r="O96" s="15"/>
      <c r="P96" s="15"/>
      <c r="Q96" s="15"/>
      <c r="R96" s="22" t="s">
        <v>619</v>
      </c>
      <c r="S96" s="15"/>
      <c r="T96" s="15"/>
    </row>
    <row r="97" spans="2:20" ht="17" thickBot="1" x14ac:dyDescent="0.25">
      <c r="B97" s="15"/>
      <c r="C97" s="5" t="s">
        <v>620</v>
      </c>
      <c r="D97" s="15"/>
      <c r="E97" s="15"/>
      <c r="F97" s="7">
        <f>-$E$88</f>
        <v>-2984.2793282500529</v>
      </c>
      <c r="G97" s="11">
        <f>SUM(G94,G95,G96)</f>
        <v>204.52429111220036</v>
      </c>
      <c r="H97" s="11">
        <f>SUM(H94,H95,H96)</f>
        <v>274.99037486154987</v>
      </c>
      <c r="I97" s="11">
        <f>SUM(I94,I95,I96)</f>
        <v>335.49048916277434</v>
      </c>
      <c r="J97" s="11">
        <f>SUM(J94,J95,J96)</f>
        <v>360.70605421427325</v>
      </c>
      <c r="K97" s="11">
        <f>SUM(K94,K95,K96)</f>
        <v>4649.7161889383415</v>
      </c>
      <c r="L97" s="15"/>
      <c r="M97" s="15"/>
      <c r="N97" s="15"/>
      <c r="O97" s="15"/>
      <c r="P97" s="15"/>
      <c r="Q97" s="15"/>
      <c r="R97" s="22"/>
      <c r="S97" s="15"/>
      <c r="T97" s="15"/>
    </row>
    <row r="98" spans="2:20" ht="17" thickTop="1" x14ac:dyDescent="0.2">
      <c r="B98" s="15"/>
      <c r="C98" s="15"/>
      <c r="D98" s="15"/>
      <c r="E98" s="15"/>
      <c r="F98" s="15"/>
      <c r="G98" s="15"/>
      <c r="H98" s="15"/>
      <c r="I98" s="15"/>
      <c r="J98" s="15"/>
      <c r="K98" s="15"/>
      <c r="L98" s="15"/>
      <c r="M98" s="15"/>
      <c r="N98" s="15"/>
      <c r="O98" s="15"/>
      <c r="P98" s="15"/>
      <c r="Q98" s="15"/>
      <c r="R98" s="22"/>
      <c r="S98" s="15"/>
      <c r="T98" s="15"/>
    </row>
    <row r="99" spans="2:20" x14ac:dyDescent="0.2">
      <c r="B99" s="15"/>
      <c r="C99" s="14" t="s">
        <v>617</v>
      </c>
      <c r="D99" s="15"/>
      <c r="E99" s="15"/>
      <c r="F99" s="15"/>
      <c r="G99" s="100">
        <f>IFERROR(G95/$E$91,0)</f>
        <v>2.4365030472202038</v>
      </c>
      <c r="H99" s="100">
        <f>IFERROR(H95/$E$91,0)</f>
        <v>53.103802559280567</v>
      </c>
      <c r="I99" s="100">
        <f>IFERROR(I95/$E$91,0)</f>
        <v>96.917656757502229</v>
      </c>
      <c r="J99" s="100">
        <f>IFERROR(J95/$E$91,0)</f>
        <v>104.96981615293929</v>
      </c>
      <c r="K99" s="100">
        <f>IFERROR(K95/$E$91,0)</f>
        <v>108.04740461952684</v>
      </c>
      <c r="L99" s="15"/>
      <c r="M99" s="15"/>
      <c r="N99" s="15"/>
      <c r="O99" s="15"/>
      <c r="P99" s="15"/>
      <c r="Q99" s="15"/>
      <c r="R99" s="22"/>
      <c r="S99" s="15"/>
      <c r="T99" s="15"/>
    </row>
    <row r="100" spans="2:20" x14ac:dyDescent="0.2">
      <c r="B100" s="15"/>
      <c r="C100" s="15"/>
      <c r="D100" s="15"/>
      <c r="E100" s="15"/>
      <c r="F100" s="15"/>
      <c r="G100" s="15"/>
      <c r="H100" s="15"/>
      <c r="I100" s="15"/>
      <c r="J100" s="15"/>
      <c r="K100" s="15"/>
      <c r="L100" s="15"/>
      <c r="M100" s="15"/>
      <c r="N100" s="15"/>
      <c r="O100" s="15"/>
      <c r="P100" s="15"/>
      <c r="Q100" s="15"/>
      <c r="R100" s="22"/>
      <c r="S100" s="15"/>
      <c r="T100" s="15"/>
    </row>
    <row r="101" spans="2:20" ht="17" customHeight="1" x14ac:dyDescent="0.2">
      <c r="B101" s="15"/>
      <c r="C101" s="5" t="s">
        <v>621</v>
      </c>
      <c r="D101" s="15"/>
      <c r="E101" s="153">
        <f>IRR(F97:K97)</f>
        <v>0.16216722940400463</v>
      </c>
      <c r="F101" s="15"/>
      <c r="G101" s="15"/>
      <c r="H101" s="15"/>
      <c r="I101" s="15"/>
      <c r="J101" s="15"/>
      <c r="K101" s="15"/>
      <c r="L101" s="15"/>
      <c r="M101" s="15"/>
      <c r="N101" s="15"/>
      <c r="O101" s="15"/>
      <c r="P101" s="15"/>
      <c r="Q101" s="15"/>
      <c r="R101" s="22"/>
      <c r="S101" s="15"/>
      <c r="T101" s="15"/>
    </row>
    <row r="102" spans="2:20" x14ac:dyDescent="0.2">
      <c r="B102" s="15"/>
      <c r="C102" s="5" t="s">
        <v>622</v>
      </c>
      <c r="D102" s="15"/>
      <c r="E102" s="129">
        <f>E101-$E$89</f>
        <v>5.8263452096928112E-2</v>
      </c>
      <c r="F102" s="15"/>
      <c r="G102" s="15"/>
      <c r="H102" s="15"/>
      <c r="I102" s="15"/>
      <c r="J102" s="15"/>
      <c r="K102" s="15"/>
      <c r="L102" s="15"/>
      <c r="M102" s="15"/>
      <c r="N102" s="15"/>
      <c r="O102" s="15"/>
      <c r="P102" s="15"/>
      <c r="Q102" s="15"/>
      <c r="R102" s="22" t="s">
        <v>623</v>
      </c>
      <c r="S102" s="15"/>
      <c r="T102" s="15"/>
    </row>
    <row r="103" spans="2:20" x14ac:dyDescent="0.2">
      <c r="B103" s="15"/>
      <c r="C103" s="15"/>
      <c r="D103" s="15"/>
      <c r="E103" s="15"/>
      <c r="F103" s="15"/>
      <c r="G103" s="15"/>
      <c r="H103" s="15"/>
      <c r="I103" s="15"/>
      <c r="J103" s="15"/>
      <c r="K103" s="15"/>
      <c r="L103" s="15"/>
      <c r="M103" s="15"/>
      <c r="N103" s="15"/>
      <c r="O103" s="15"/>
      <c r="P103" s="15"/>
      <c r="Q103" s="15"/>
      <c r="R103" s="22"/>
      <c r="S103" s="15"/>
      <c r="T103" s="15"/>
    </row>
    <row r="104" spans="2:20" x14ac:dyDescent="0.2">
      <c r="B104" s="15"/>
      <c r="C104" s="15"/>
      <c r="D104" s="15"/>
      <c r="E104" s="15"/>
      <c r="F104" s="15"/>
      <c r="G104" s="15"/>
      <c r="H104" s="15"/>
      <c r="I104" s="15"/>
      <c r="J104" s="15"/>
      <c r="K104" s="15"/>
      <c r="L104" s="15"/>
      <c r="M104" s="15"/>
      <c r="N104" s="15"/>
      <c r="O104" s="15"/>
      <c r="P104" s="15"/>
      <c r="Q104" s="15"/>
      <c r="R104" s="22"/>
      <c r="S104" s="15"/>
      <c r="T104" s="15"/>
    </row>
    <row r="105" spans="2:20" x14ac:dyDescent="0.2">
      <c r="B105" s="15"/>
      <c r="C105" s="136" t="s">
        <v>624</v>
      </c>
      <c r="D105" s="15"/>
      <c r="E105" s="15"/>
      <c r="F105" s="15"/>
      <c r="G105" s="15"/>
      <c r="H105" s="15"/>
      <c r="I105" s="15"/>
      <c r="J105" s="15"/>
      <c r="K105" s="15"/>
      <c r="L105" s="15"/>
      <c r="M105" s="15"/>
      <c r="N105" s="15"/>
      <c r="O105" s="15"/>
      <c r="P105" s="15"/>
      <c r="Q105" s="15"/>
      <c r="R105" s="22" t="s">
        <v>625</v>
      </c>
      <c r="S105" s="15"/>
      <c r="T105" s="15"/>
    </row>
    <row r="106" spans="2:20" x14ac:dyDescent="0.2">
      <c r="B106" s="15"/>
      <c r="C106" s="15"/>
      <c r="D106" s="15"/>
      <c r="E106" s="15"/>
      <c r="F106" s="15"/>
      <c r="G106" s="15"/>
      <c r="H106" s="15"/>
      <c r="I106" s="15"/>
      <c r="J106" s="15"/>
      <c r="K106" s="15"/>
      <c r="L106" s="15"/>
      <c r="M106" s="15"/>
      <c r="N106" s="15"/>
      <c r="O106" s="15"/>
      <c r="P106" s="15"/>
      <c r="Q106" s="15"/>
      <c r="R106" s="22"/>
      <c r="S106" s="15"/>
      <c r="T106" s="15"/>
    </row>
    <row r="107" spans="2:20" x14ac:dyDescent="0.2">
      <c r="B107" s="15"/>
      <c r="C107" s="8" t="s">
        <v>626</v>
      </c>
      <c r="D107" s="10">
        <f>$E$88*0.85</f>
        <v>2536.637429012545</v>
      </c>
      <c r="E107" s="154">
        <f>IRR(F107:K107)</f>
        <v>0.20670792202196164</v>
      </c>
      <c r="F107" s="9">
        <f>-D107</f>
        <v>-2536.637429012545</v>
      </c>
      <c r="G107" s="9">
        <f>G97</f>
        <v>204.52429111220036</v>
      </c>
      <c r="H107" s="9">
        <f>H97</f>
        <v>274.99037486154987</v>
      </c>
      <c r="I107" s="9">
        <f>I97</f>
        <v>335.49048916277434</v>
      </c>
      <c r="J107" s="9">
        <f>J97</f>
        <v>360.70605421427325</v>
      </c>
      <c r="K107" s="9">
        <f>K97</f>
        <v>4649.7161889383415</v>
      </c>
      <c r="L107" s="15"/>
      <c r="M107" s="15"/>
      <c r="N107" s="15"/>
      <c r="O107" s="15"/>
      <c r="P107" s="15"/>
      <c r="Q107" s="15"/>
      <c r="R107" s="22"/>
      <c r="S107" s="15"/>
      <c r="T107" s="15"/>
    </row>
    <row r="108" spans="2:20" x14ac:dyDescent="0.2">
      <c r="B108" s="15"/>
      <c r="C108" s="8" t="s">
        <v>627</v>
      </c>
      <c r="D108" s="10">
        <f>$E$88*0.925</f>
        <v>2760.4583786312992</v>
      </c>
      <c r="E108" s="154">
        <f>IRR(F108:K108)</f>
        <v>0.18325006538083799</v>
      </c>
      <c r="F108" s="9">
        <f>-D108</f>
        <v>-2760.4583786312992</v>
      </c>
      <c r="G108" s="9">
        <f>G97</f>
        <v>204.52429111220036</v>
      </c>
      <c r="H108" s="9">
        <f>H97</f>
        <v>274.99037486154987</v>
      </c>
      <c r="I108" s="9">
        <f>I97</f>
        <v>335.49048916277434</v>
      </c>
      <c r="J108" s="9">
        <f>J97</f>
        <v>360.70605421427325</v>
      </c>
      <c r="K108" s="9">
        <f>K97</f>
        <v>4649.7161889383415</v>
      </c>
      <c r="L108" s="15"/>
      <c r="M108" s="15"/>
      <c r="N108" s="15"/>
      <c r="O108" s="15"/>
      <c r="P108" s="15"/>
      <c r="Q108" s="15"/>
      <c r="R108" s="22"/>
      <c r="S108" s="15"/>
      <c r="T108" s="15"/>
    </row>
    <row r="109" spans="2:20" x14ac:dyDescent="0.2">
      <c r="B109" s="15"/>
      <c r="C109" s="8" t="s">
        <v>628</v>
      </c>
      <c r="D109" s="10">
        <f>$E$88*1</f>
        <v>2984.2793282500529</v>
      </c>
      <c r="E109" s="154">
        <f>IRR(F109:K109)</f>
        <v>0.16216722940400463</v>
      </c>
      <c r="F109" s="9">
        <f>-D109</f>
        <v>-2984.2793282500529</v>
      </c>
      <c r="G109" s="9">
        <f>G97</f>
        <v>204.52429111220036</v>
      </c>
      <c r="H109" s="9">
        <f>H97</f>
        <v>274.99037486154987</v>
      </c>
      <c r="I109" s="9">
        <f>I97</f>
        <v>335.49048916277434</v>
      </c>
      <c r="J109" s="9">
        <f>J97</f>
        <v>360.70605421427325</v>
      </c>
      <c r="K109" s="9">
        <f>K97</f>
        <v>4649.7161889383415</v>
      </c>
      <c r="L109" s="15"/>
      <c r="M109" s="15"/>
      <c r="N109" s="15"/>
      <c r="O109" s="15"/>
      <c r="P109" s="15"/>
      <c r="Q109" s="15"/>
      <c r="R109" s="22"/>
      <c r="S109" s="15"/>
      <c r="T109" s="15"/>
    </row>
    <row r="110" spans="2:20" x14ac:dyDescent="0.2">
      <c r="B110" s="15"/>
      <c r="C110" s="8" t="s">
        <v>629</v>
      </c>
      <c r="D110" s="10">
        <f>$E$88*1.075</f>
        <v>3208.1002778688066</v>
      </c>
      <c r="E110" s="154">
        <f>IRR(F110:K110)</f>
        <v>0.14305829088013056</v>
      </c>
      <c r="F110" s="9">
        <f>-D110</f>
        <v>-3208.1002778688066</v>
      </c>
      <c r="G110" s="9">
        <f>G97</f>
        <v>204.52429111220036</v>
      </c>
      <c r="H110" s="9">
        <f>H97</f>
        <v>274.99037486154987</v>
      </c>
      <c r="I110" s="9">
        <f>I97</f>
        <v>335.49048916277434</v>
      </c>
      <c r="J110" s="9">
        <f>J97</f>
        <v>360.70605421427325</v>
      </c>
      <c r="K110" s="9">
        <f>K97</f>
        <v>4649.7161889383415</v>
      </c>
      <c r="L110" s="15"/>
      <c r="M110" s="15"/>
      <c r="N110" s="15"/>
      <c r="O110" s="15"/>
      <c r="P110" s="15"/>
      <c r="Q110" s="15"/>
      <c r="R110" s="22"/>
      <c r="S110" s="15"/>
      <c r="T110" s="15"/>
    </row>
    <row r="111" spans="2:20" x14ac:dyDescent="0.2">
      <c r="B111" s="15"/>
      <c r="C111" s="8" t="s">
        <v>630</v>
      </c>
      <c r="D111" s="10">
        <f>$E$88*1.15</f>
        <v>3431.9212274875604</v>
      </c>
      <c r="E111" s="154">
        <f>IRR(F111:K111)</f>
        <v>0.12561304190482159</v>
      </c>
      <c r="F111" s="9">
        <f>-D111</f>
        <v>-3431.9212274875604</v>
      </c>
      <c r="G111" s="9">
        <f>G97</f>
        <v>204.52429111220036</v>
      </c>
      <c r="H111" s="9">
        <f>H97</f>
        <v>274.99037486154987</v>
      </c>
      <c r="I111" s="9">
        <f>I97</f>
        <v>335.49048916277434</v>
      </c>
      <c r="J111" s="9">
        <f>J97</f>
        <v>360.70605421427325</v>
      </c>
      <c r="K111" s="9">
        <f>K97</f>
        <v>4649.7161889383415</v>
      </c>
      <c r="L111" s="15"/>
      <c r="M111" s="15"/>
      <c r="N111" s="15"/>
      <c r="O111" s="15"/>
      <c r="P111" s="15"/>
      <c r="Q111" s="15"/>
      <c r="R111" s="22"/>
      <c r="S111" s="15"/>
      <c r="T111" s="15"/>
    </row>
    <row r="112" spans="2:20" x14ac:dyDescent="0.2">
      <c r="B112" s="15"/>
      <c r="C112" s="15"/>
      <c r="D112" s="15"/>
      <c r="E112" s="15"/>
      <c r="F112" s="15"/>
      <c r="G112" s="15"/>
      <c r="H112" s="15"/>
      <c r="I112" s="15"/>
      <c r="J112" s="15"/>
      <c r="K112" s="15"/>
      <c r="L112" s="15"/>
      <c r="M112" s="15"/>
      <c r="N112" s="15"/>
      <c r="O112" s="15"/>
      <c r="P112" s="15"/>
      <c r="Q112" s="15"/>
      <c r="R112" s="22"/>
      <c r="S112" s="15"/>
      <c r="T112" s="15"/>
    </row>
    <row r="113" spans="2:20" x14ac:dyDescent="0.2">
      <c r="B113" s="15"/>
      <c r="C113" s="15"/>
      <c r="D113" s="15"/>
      <c r="E113" s="15"/>
      <c r="F113" s="15"/>
      <c r="G113" s="15"/>
      <c r="H113" s="15"/>
      <c r="I113" s="15"/>
      <c r="J113" s="15"/>
      <c r="K113" s="15"/>
      <c r="L113" s="15"/>
      <c r="M113" s="15"/>
      <c r="N113" s="15"/>
      <c r="O113" s="15"/>
      <c r="P113" s="15"/>
      <c r="Q113" s="15"/>
      <c r="R113" s="22"/>
      <c r="S113" s="15"/>
      <c r="T113" s="15"/>
    </row>
    <row r="114" spans="2:20" x14ac:dyDescent="0.2">
      <c r="B114" s="15"/>
      <c r="C114" s="136" t="s">
        <v>631</v>
      </c>
      <c r="D114" s="15"/>
      <c r="E114" s="15"/>
      <c r="F114" s="15"/>
      <c r="G114" s="15"/>
      <c r="H114" s="15"/>
      <c r="I114" s="15"/>
      <c r="J114" s="15"/>
      <c r="K114" s="15"/>
      <c r="L114" s="15"/>
      <c r="M114" s="15"/>
      <c r="N114" s="15"/>
      <c r="O114" s="15"/>
      <c r="P114" s="15"/>
      <c r="Q114" s="15"/>
      <c r="R114" s="22" t="s">
        <v>632</v>
      </c>
      <c r="S114" s="15"/>
      <c r="T114" s="15"/>
    </row>
    <row r="115" spans="2:20" x14ac:dyDescent="0.2">
      <c r="B115" s="15"/>
      <c r="C115" s="15"/>
      <c r="D115" s="15"/>
      <c r="E115" s="15"/>
      <c r="F115" s="15"/>
      <c r="G115" s="15"/>
      <c r="H115" s="15"/>
      <c r="I115" s="15"/>
      <c r="J115" s="15"/>
      <c r="K115" s="15"/>
      <c r="L115" s="15"/>
      <c r="M115" s="15"/>
      <c r="N115" s="15"/>
      <c r="O115" s="15"/>
      <c r="P115" s="15"/>
      <c r="Q115" s="15"/>
      <c r="R115" s="22"/>
      <c r="S115" s="15"/>
      <c r="T115" s="15"/>
    </row>
    <row r="116" spans="2:20" x14ac:dyDescent="0.2">
      <c r="B116" s="15"/>
      <c r="C116" s="8" t="s">
        <v>633</v>
      </c>
      <c r="D116" s="48">
        <v>1.25</v>
      </c>
      <c r="E116" s="154">
        <f t="shared" ref="E116:E121" si="10">IRR(F116:K116)</f>
        <v>0.17946736129242713</v>
      </c>
      <c r="F116" s="9">
        <f t="shared" ref="F116:F121" si="11">-$E$88</f>
        <v>-2984.2793282500529</v>
      </c>
      <c r="G116" s="9">
        <f>(G94+G99*$D116)</f>
        <v>205.13341687400541</v>
      </c>
      <c r="H116" s="9">
        <f>(H94+H99*$D116)</f>
        <v>288.26632550137003</v>
      </c>
      <c r="I116" s="9">
        <f>(I94+I99*$D116)</f>
        <v>359.71990335214991</v>
      </c>
      <c r="J116" s="9">
        <f>(J94+J99*$D116)</f>
        <v>386.94850825250808</v>
      </c>
      <c r="K116" s="9">
        <f>(K94+K99*$D116)*(1+(1+$E$90)/($E$89-$E$90))</f>
        <v>4985.1179617891894</v>
      </c>
      <c r="L116" s="15"/>
      <c r="M116" s="15"/>
      <c r="N116" s="15"/>
      <c r="O116" s="15"/>
      <c r="P116" s="15"/>
      <c r="Q116" s="15"/>
      <c r="R116" s="22"/>
      <c r="S116" s="15"/>
      <c r="T116" s="15"/>
    </row>
    <row r="117" spans="2:20" x14ac:dyDescent="0.2">
      <c r="B117" s="15"/>
      <c r="C117" s="8" t="s">
        <v>634</v>
      </c>
      <c r="D117" s="48">
        <v>1</v>
      </c>
      <c r="E117" s="154">
        <f t="shared" si="10"/>
        <v>0.16216722940400463</v>
      </c>
      <c r="F117" s="9">
        <f t="shared" si="11"/>
        <v>-2984.2793282500529</v>
      </c>
      <c r="G117" s="9">
        <f>(G94+G99*$D117)</f>
        <v>204.52429111220036</v>
      </c>
      <c r="H117" s="9">
        <f>(H94+H99*$D117)</f>
        <v>274.99037486154987</v>
      </c>
      <c r="I117" s="9">
        <f>(I94+I99*$D117)</f>
        <v>335.49048916277434</v>
      </c>
      <c r="J117" s="9">
        <f>(J94+J99*$D117)</f>
        <v>360.70605421427325</v>
      </c>
      <c r="K117" s="9">
        <f>(K94+K99*$D117)*(1+(1+$E$90)/($E$89-$E$90))</f>
        <v>4649.7161889383415</v>
      </c>
      <c r="L117" s="15"/>
      <c r="M117" s="15"/>
      <c r="N117" s="15"/>
      <c r="O117" s="15"/>
      <c r="P117" s="15"/>
      <c r="Q117" s="15"/>
      <c r="R117" s="22"/>
      <c r="S117" s="15"/>
      <c r="T117" s="15"/>
    </row>
    <row r="118" spans="2:20" x14ac:dyDescent="0.2">
      <c r="B118" s="15"/>
      <c r="C118" s="8" t="s">
        <v>635</v>
      </c>
      <c r="D118" s="48">
        <v>0.75</v>
      </c>
      <c r="E118" s="154">
        <f t="shared" si="10"/>
        <v>0.14390605739680629</v>
      </c>
      <c r="F118" s="9">
        <f t="shared" si="11"/>
        <v>-2984.2793282500529</v>
      </c>
      <c r="G118" s="9">
        <f>(G94+G99*$D118)</f>
        <v>203.91516535039528</v>
      </c>
      <c r="H118" s="9">
        <f>(H94+H99*$D118)</f>
        <v>261.71442422172976</v>
      </c>
      <c r="I118" s="9">
        <f>(I94+I99*$D118)</f>
        <v>311.26107497339876</v>
      </c>
      <c r="J118" s="9">
        <f>(J94+J99*$D118)</f>
        <v>334.46360017603843</v>
      </c>
      <c r="K118" s="9">
        <f>(K94+K99*$D118)*(1+(1+$E$90)/($E$89-$E$90))</f>
        <v>4314.3144160874936</v>
      </c>
      <c r="L118" s="15"/>
      <c r="M118" s="15"/>
      <c r="N118" s="15"/>
      <c r="O118" s="15"/>
      <c r="P118" s="15"/>
      <c r="Q118" s="15"/>
      <c r="R118" s="22"/>
      <c r="S118" s="15"/>
      <c r="T118" s="15"/>
    </row>
    <row r="119" spans="2:20" x14ac:dyDescent="0.2">
      <c r="B119" s="15"/>
      <c r="C119" s="8" t="s">
        <v>636</v>
      </c>
      <c r="D119" s="48">
        <v>0.5</v>
      </c>
      <c r="E119" s="154">
        <f t="shared" si="10"/>
        <v>0.12454667961275701</v>
      </c>
      <c r="F119" s="9">
        <f t="shared" si="11"/>
        <v>-2984.2793282500529</v>
      </c>
      <c r="G119" s="9">
        <f>(G94+G99*$D119)</f>
        <v>203.30603958859024</v>
      </c>
      <c r="H119" s="9">
        <f>(H94+H99*$D119)</f>
        <v>248.43847358190959</v>
      </c>
      <c r="I119" s="9">
        <f>(I94+I99*$D119)</f>
        <v>287.03166078402325</v>
      </c>
      <c r="J119" s="9">
        <f>(J94+J99*$D119)</f>
        <v>308.2211461378036</v>
      </c>
      <c r="K119" s="9">
        <f>(K94+K99*$D119)*(1+(1+$E$90)/($E$89-$E$90))</f>
        <v>3978.9126432366461</v>
      </c>
      <c r="L119" s="15"/>
      <c r="M119" s="15"/>
      <c r="N119" s="15"/>
      <c r="O119" s="15"/>
      <c r="P119" s="15"/>
      <c r="Q119" s="15"/>
      <c r="R119" s="22"/>
      <c r="S119" s="15"/>
      <c r="T119" s="15"/>
    </row>
    <row r="120" spans="2:20" x14ac:dyDescent="0.2">
      <c r="B120" s="15"/>
      <c r="C120" s="8" t="s">
        <v>637</v>
      </c>
      <c r="D120" s="48">
        <v>0.25</v>
      </c>
      <c r="E120" s="154">
        <f t="shared" si="10"/>
        <v>0.10391859393703196</v>
      </c>
      <c r="F120" s="9">
        <f t="shared" si="11"/>
        <v>-2984.2793282500529</v>
      </c>
      <c r="G120" s="9">
        <f>(G94+G99*$D120)</f>
        <v>202.69691382678519</v>
      </c>
      <c r="H120" s="9">
        <f>(H94+H99*$D120)</f>
        <v>235.16252294208945</v>
      </c>
      <c r="I120" s="9">
        <f>(I94+I99*$D120)</f>
        <v>262.80224659464767</v>
      </c>
      <c r="J120" s="9">
        <f>(J94+J99*$D120)</f>
        <v>281.97869209956878</v>
      </c>
      <c r="K120" s="9">
        <f>(K94+K99*$D120)*(1+(1+$E$90)/($E$89-$E$90))</f>
        <v>3643.5108703857977</v>
      </c>
      <c r="L120" s="15"/>
      <c r="M120" s="15"/>
      <c r="N120" s="15"/>
      <c r="O120" s="15"/>
      <c r="P120" s="15"/>
      <c r="Q120" s="15"/>
      <c r="R120" s="22"/>
      <c r="S120" s="15"/>
      <c r="T120" s="15"/>
    </row>
    <row r="121" spans="2:20" x14ac:dyDescent="0.2">
      <c r="B121" s="15"/>
      <c r="C121" s="8" t="s">
        <v>638</v>
      </c>
      <c r="D121" s="48">
        <v>0</v>
      </c>
      <c r="E121" s="154">
        <f t="shared" si="10"/>
        <v>8.1805873938177287E-2</v>
      </c>
      <c r="F121" s="9">
        <f t="shared" si="11"/>
        <v>-2984.2793282500529</v>
      </c>
      <c r="G121" s="9">
        <f>(G94+G99*$D121)</f>
        <v>202.08778806498015</v>
      </c>
      <c r="H121" s="9">
        <f>(H94+H99*$D121)</f>
        <v>221.88657230226931</v>
      </c>
      <c r="I121" s="9">
        <f>(I94+I99*$D121)</f>
        <v>238.57283240527212</v>
      </c>
      <c r="J121" s="9">
        <f>(J94+J99*$D121)</f>
        <v>255.73623806133395</v>
      </c>
      <c r="K121" s="9">
        <f>(K94+K99*$D121)*(1+(1+$E$90)/($E$89-$E$90))</f>
        <v>3308.1090975349503</v>
      </c>
      <c r="L121" s="15"/>
      <c r="M121" s="15"/>
      <c r="N121" s="15"/>
      <c r="O121" s="15"/>
      <c r="P121" s="15"/>
      <c r="Q121" s="15"/>
      <c r="R121" s="22"/>
      <c r="S121" s="15"/>
      <c r="T121" s="15"/>
    </row>
    <row r="122" spans="2:20" x14ac:dyDescent="0.2">
      <c r="B122" s="15"/>
      <c r="C122" s="15"/>
      <c r="D122" s="15"/>
      <c r="E122" s="15"/>
      <c r="F122" s="15"/>
      <c r="G122" s="15"/>
      <c r="H122" s="15"/>
      <c r="I122" s="15"/>
      <c r="J122" s="15"/>
      <c r="K122" s="15"/>
      <c r="L122" s="15"/>
      <c r="M122" s="15"/>
      <c r="N122" s="15"/>
      <c r="O122" s="15"/>
      <c r="P122" s="15"/>
      <c r="Q122" s="15"/>
      <c r="R122" s="22"/>
      <c r="S122" s="15"/>
      <c r="T122" s="15"/>
    </row>
    <row r="123" spans="2:20" x14ac:dyDescent="0.2">
      <c r="B123" s="15"/>
      <c r="C123" s="15"/>
      <c r="D123" s="15"/>
      <c r="E123" s="15"/>
      <c r="F123" s="15"/>
      <c r="G123" s="15"/>
      <c r="H123" s="15"/>
      <c r="I123" s="15"/>
      <c r="J123" s="15"/>
      <c r="K123" s="15"/>
      <c r="L123" s="15"/>
      <c r="M123" s="15"/>
      <c r="N123" s="15"/>
      <c r="O123" s="15"/>
      <c r="P123" s="15"/>
      <c r="Q123" s="15"/>
      <c r="R123" s="22"/>
      <c r="S123" s="15"/>
      <c r="T123" s="15"/>
    </row>
    <row r="124" spans="2:20" x14ac:dyDescent="0.2">
      <c r="B124" s="15"/>
      <c r="C124" s="15"/>
      <c r="D124" s="15"/>
      <c r="E124" s="15"/>
      <c r="F124" s="15"/>
      <c r="G124" s="15"/>
      <c r="H124" s="15"/>
      <c r="I124" s="15"/>
      <c r="J124" s="15"/>
      <c r="K124" s="15"/>
      <c r="L124" s="15"/>
      <c r="M124" s="15"/>
      <c r="N124" s="15"/>
      <c r="O124" s="15"/>
      <c r="P124" s="15"/>
      <c r="Q124" s="15"/>
      <c r="R124" s="22"/>
      <c r="S124" s="15"/>
      <c r="T124" s="15"/>
    </row>
    <row r="125" spans="2:20" x14ac:dyDescent="0.2">
      <c r="B125" s="15"/>
      <c r="C125" s="15"/>
      <c r="D125" s="15"/>
      <c r="E125" s="15"/>
      <c r="F125" s="15"/>
      <c r="G125" s="15"/>
      <c r="H125" s="15"/>
      <c r="I125" s="15"/>
      <c r="J125" s="15"/>
      <c r="K125" s="15"/>
      <c r="L125" s="15"/>
      <c r="M125" s="15"/>
      <c r="N125" s="15"/>
      <c r="O125" s="15"/>
      <c r="P125" s="15"/>
      <c r="Q125" s="15"/>
      <c r="R125" s="22"/>
      <c r="S125" s="15"/>
      <c r="T125" s="15"/>
    </row>
    <row r="126" spans="2:20" x14ac:dyDescent="0.2">
      <c r="B126" s="15"/>
      <c r="C126" s="15"/>
      <c r="D126" s="15"/>
      <c r="E126" s="15"/>
      <c r="F126" s="15"/>
      <c r="G126" s="15"/>
      <c r="H126" s="15"/>
      <c r="I126" s="15"/>
      <c r="J126" s="15"/>
      <c r="K126" s="15"/>
      <c r="L126" s="15"/>
      <c r="M126" s="15"/>
      <c r="N126" s="15"/>
      <c r="O126" s="15"/>
      <c r="P126" s="15"/>
      <c r="Q126" s="15"/>
      <c r="R126" s="15"/>
      <c r="S126" s="15"/>
      <c r="T126" s="15"/>
    </row>
  </sheetData>
  <pageMargins left="0.7" right="0.7" top="0.75" bottom="0.75" header="0.3" footer="0.3"/>
  <ignoredErrors>
    <ignoredError sqref="G23"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BAFB-FB63-2D45-B69E-1E3511C10FF1}">
  <dimension ref="B2:O47"/>
  <sheetViews>
    <sheetView showGridLines="0" workbookViewId="0">
      <selection activeCell="E31" sqref="E31"/>
    </sheetView>
  </sheetViews>
  <sheetFormatPr baseColWidth="10" defaultRowHeight="16" x14ac:dyDescent="0.2"/>
  <cols>
    <col min="1" max="1" width="2.83203125" customWidth="1"/>
    <col min="2" max="2" width="32.6640625" customWidth="1"/>
    <col min="5" max="5" width="12.5" customWidth="1"/>
    <col min="6" max="7" width="12.6640625" customWidth="1"/>
  </cols>
  <sheetData>
    <row r="2" spans="2:15" ht="19" x14ac:dyDescent="0.2">
      <c r="B2" s="91" t="s">
        <v>273</v>
      </c>
      <c r="C2" s="15"/>
      <c r="D2" s="15"/>
      <c r="E2" s="15"/>
      <c r="F2" s="15"/>
      <c r="G2" s="15"/>
      <c r="H2" s="15"/>
      <c r="I2" s="15"/>
      <c r="J2" s="15"/>
      <c r="K2" s="15"/>
      <c r="L2" s="15"/>
      <c r="M2" s="15"/>
      <c r="N2" s="15"/>
      <c r="O2" s="15"/>
    </row>
    <row r="3" spans="2:15" x14ac:dyDescent="0.2">
      <c r="B3" s="22" t="s">
        <v>222</v>
      </c>
      <c r="C3" s="15"/>
      <c r="D3" s="15"/>
      <c r="E3" s="15"/>
      <c r="F3" s="15"/>
      <c r="G3" s="15"/>
      <c r="H3" s="15"/>
      <c r="I3" s="15"/>
      <c r="J3" s="15"/>
      <c r="K3" s="15"/>
      <c r="L3" s="15"/>
      <c r="M3" s="15"/>
      <c r="N3" s="15"/>
      <c r="O3" s="15"/>
    </row>
    <row r="4" spans="2:15" x14ac:dyDescent="0.2">
      <c r="B4" s="22" t="s">
        <v>274</v>
      </c>
      <c r="C4" s="15"/>
      <c r="D4" s="15"/>
      <c r="E4" s="15"/>
      <c r="F4" s="15"/>
      <c r="G4" s="15"/>
      <c r="H4" s="15"/>
      <c r="I4" s="15"/>
      <c r="J4" s="15"/>
      <c r="K4" s="15"/>
      <c r="L4" s="15"/>
      <c r="M4" s="15"/>
      <c r="N4" s="15"/>
      <c r="O4" s="15"/>
    </row>
    <row r="5" spans="2:15" x14ac:dyDescent="0.2">
      <c r="B5" s="19" t="s">
        <v>275</v>
      </c>
      <c r="C5" s="19"/>
      <c r="D5" s="20"/>
      <c r="E5" s="19"/>
      <c r="F5" s="19"/>
      <c r="G5" s="19"/>
      <c r="H5" s="19"/>
      <c r="I5" s="19"/>
      <c r="J5" s="19"/>
      <c r="K5" s="19"/>
      <c r="L5" s="19"/>
      <c r="M5" s="15"/>
      <c r="N5" s="15"/>
      <c r="O5" s="15"/>
    </row>
    <row r="6" spans="2:15" x14ac:dyDescent="0.2">
      <c r="B6" s="15"/>
      <c r="C6" s="15"/>
      <c r="D6" s="15"/>
      <c r="E6" s="15"/>
      <c r="F6" s="15"/>
      <c r="G6" s="15"/>
      <c r="H6" s="15"/>
      <c r="I6" s="15"/>
      <c r="J6" s="15"/>
      <c r="K6" s="15"/>
      <c r="L6" s="15"/>
      <c r="M6" s="15"/>
      <c r="N6" s="15"/>
      <c r="O6" s="15"/>
    </row>
    <row r="7" spans="2:15" x14ac:dyDescent="0.2">
      <c r="B7" s="8" t="s">
        <v>276</v>
      </c>
      <c r="C7" s="15"/>
      <c r="D7" s="15"/>
      <c r="E7" s="15"/>
      <c r="F7" s="115">
        <v>4.2500000000000003E-2</v>
      </c>
      <c r="G7" s="15"/>
      <c r="H7" s="15"/>
      <c r="I7" s="15"/>
      <c r="J7" s="15"/>
      <c r="K7" s="15"/>
      <c r="L7" s="15"/>
      <c r="M7" s="22" t="s">
        <v>277</v>
      </c>
      <c r="N7" s="15"/>
      <c r="O7" s="15"/>
    </row>
    <row r="8" spans="2:15" x14ac:dyDescent="0.2">
      <c r="B8" s="8" t="s">
        <v>278</v>
      </c>
      <c r="C8" s="15"/>
      <c r="D8" s="15"/>
      <c r="E8" s="15"/>
      <c r="F8" s="115">
        <v>5.5E-2</v>
      </c>
      <c r="G8" s="15"/>
      <c r="H8" s="15"/>
      <c r="I8" s="15"/>
      <c r="J8" s="15"/>
      <c r="K8" s="15"/>
      <c r="L8" s="15"/>
      <c r="M8" s="22" t="s">
        <v>279</v>
      </c>
      <c r="N8" s="15"/>
      <c r="O8" s="15"/>
    </row>
    <row r="9" spans="2:15" x14ac:dyDescent="0.2">
      <c r="B9" s="8" t="s">
        <v>280</v>
      </c>
      <c r="C9" s="15"/>
      <c r="D9" s="15"/>
      <c r="E9" s="15"/>
      <c r="F9" s="116">
        <v>0.24</v>
      </c>
      <c r="G9" s="15"/>
      <c r="H9" s="15"/>
      <c r="I9" s="15"/>
      <c r="J9" s="15"/>
      <c r="K9" s="15"/>
      <c r="L9" s="15"/>
      <c r="M9" s="22"/>
      <c r="N9" s="15"/>
      <c r="O9" s="15"/>
    </row>
    <row r="10" spans="2:15" x14ac:dyDescent="0.2">
      <c r="B10" s="15"/>
      <c r="C10" s="15"/>
      <c r="D10" s="15"/>
      <c r="E10" s="15"/>
      <c r="F10" s="15"/>
      <c r="G10" s="15"/>
      <c r="H10" s="15"/>
      <c r="I10" s="15"/>
      <c r="J10" s="15"/>
      <c r="K10" s="15"/>
      <c r="L10" s="15"/>
      <c r="M10" s="22"/>
      <c r="N10" s="15"/>
      <c r="O10" s="15"/>
    </row>
    <row r="11" spans="2:15" x14ac:dyDescent="0.2">
      <c r="B11" s="19" t="s">
        <v>281</v>
      </c>
      <c r="C11" s="19"/>
      <c r="D11" s="20"/>
      <c r="E11" s="19"/>
      <c r="F11" s="19"/>
      <c r="G11" s="19"/>
      <c r="H11" s="19"/>
      <c r="I11" s="19"/>
      <c r="J11" s="19"/>
      <c r="K11" s="19"/>
      <c r="L11" s="19"/>
      <c r="M11" s="22" t="s">
        <v>282</v>
      </c>
      <c r="N11" s="15"/>
      <c r="O11" s="15"/>
    </row>
    <row r="12" spans="2:15" x14ac:dyDescent="0.2">
      <c r="B12" s="57" t="s">
        <v>239</v>
      </c>
      <c r="C12" s="57" t="s">
        <v>18</v>
      </c>
      <c r="D12" s="57" t="s">
        <v>283</v>
      </c>
      <c r="E12" s="57" t="s">
        <v>23</v>
      </c>
      <c r="F12" s="57" t="s">
        <v>241</v>
      </c>
      <c r="G12" s="57" t="s">
        <v>284</v>
      </c>
      <c r="H12" s="57" t="s">
        <v>285</v>
      </c>
      <c r="I12" s="15"/>
      <c r="J12" s="15"/>
      <c r="K12" s="15"/>
      <c r="L12" s="15"/>
      <c r="M12" s="22"/>
      <c r="N12" s="15"/>
      <c r="O12" s="15"/>
    </row>
    <row r="13" spans="2:15" x14ac:dyDescent="0.2">
      <c r="B13" s="21" t="s">
        <v>250</v>
      </c>
      <c r="C13" s="103" t="s">
        <v>251</v>
      </c>
      <c r="D13" s="117">
        <v>1.42</v>
      </c>
      <c r="E13" s="108">
        <f>Pub_Comps!H9</f>
        <v>1180</v>
      </c>
      <c r="F13" s="108">
        <f>Pub_Comps!F9</f>
        <v>4453.68</v>
      </c>
      <c r="G13" s="118">
        <f t="shared" ref="G13:G22" si="0">E13/F13</f>
        <v>0.26494943507391638</v>
      </c>
      <c r="H13" s="118">
        <f t="shared" ref="H13:H22" si="1">D13/(1+(1-$F$9)*G13)</f>
        <v>1.1819921950927768</v>
      </c>
      <c r="I13" s="15"/>
      <c r="J13" s="15"/>
      <c r="K13" s="15"/>
      <c r="L13" s="15"/>
      <c r="M13" s="22"/>
      <c r="N13" s="15"/>
      <c r="O13" s="15"/>
    </row>
    <row r="14" spans="2:15" x14ac:dyDescent="0.2">
      <c r="B14" s="21" t="s">
        <v>252</v>
      </c>
      <c r="C14" s="103" t="s">
        <v>253</v>
      </c>
      <c r="D14" s="117">
        <v>1.31</v>
      </c>
      <c r="E14" s="108">
        <f>Pub_Comps!H10</f>
        <v>690</v>
      </c>
      <c r="F14" s="108">
        <f>Pub_Comps!F10</f>
        <v>2951.6499999999996</v>
      </c>
      <c r="G14" s="118">
        <f t="shared" si="0"/>
        <v>0.23376755374112787</v>
      </c>
      <c r="H14" s="118">
        <f t="shared" si="1"/>
        <v>1.1123722328505057</v>
      </c>
      <c r="I14" s="15"/>
      <c r="J14" s="15"/>
      <c r="K14" s="15"/>
      <c r="L14" s="15"/>
      <c r="M14" s="22"/>
      <c r="N14" s="15"/>
      <c r="O14" s="15"/>
    </row>
    <row r="15" spans="2:15" x14ac:dyDescent="0.2">
      <c r="B15" s="21" t="s">
        <v>254</v>
      </c>
      <c r="C15" s="103" t="s">
        <v>255</v>
      </c>
      <c r="D15" s="117">
        <v>1.88</v>
      </c>
      <c r="E15" s="108">
        <f>Pub_Comps!H11</f>
        <v>2240</v>
      </c>
      <c r="F15" s="108">
        <f>Pub_Comps!F11</f>
        <v>3104.64</v>
      </c>
      <c r="G15" s="118">
        <f t="shared" si="0"/>
        <v>0.72150072150072153</v>
      </c>
      <c r="H15" s="118">
        <f t="shared" si="1"/>
        <v>1.2142031686859271</v>
      </c>
      <c r="I15" s="15"/>
      <c r="J15" s="15"/>
      <c r="K15" s="15"/>
      <c r="L15" s="15"/>
      <c r="M15" s="22"/>
      <c r="N15" s="15"/>
      <c r="O15" s="15"/>
    </row>
    <row r="16" spans="2:15" x14ac:dyDescent="0.2">
      <c r="B16" s="21" t="s">
        <v>256</v>
      </c>
      <c r="C16" s="103" t="s">
        <v>257</v>
      </c>
      <c r="D16" s="117">
        <v>1.24</v>
      </c>
      <c r="E16" s="108">
        <f>Pub_Comps!H12</f>
        <v>415</v>
      </c>
      <c r="F16" s="108">
        <f>Pub_Comps!F12</f>
        <v>2482.35</v>
      </c>
      <c r="G16" s="118">
        <f t="shared" si="0"/>
        <v>0.16718029286764557</v>
      </c>
      <c r="H16" s="118">
        <f t="shared" si="1"/>
        <v>1.1002105263157895</v>
      </c>
      <c r="I16" s="15"/>
      <c r="J16" s="15"/>
      <c r="K16" s="15"/>
      <c r="L16" s="15"/>
      <c r="M16" s="22"/>
      <c r="N16" s="15"/>
      <c r="O16" s="15"/>
    </row>
    <row r="17" spans="2:15" x14ac:dyDescent="0.2">
      <c r="B17" s="21" t="s">
        <v>258</v>
      </c>
      <c r="C17" s="103" t="s">
        <v>259</v>
      </c>
      <c r="D17" s="117">
        <v>1.61</v>
      </c>
      <c r="E17" s="108">
        <f>Pub_Comps!H13</f>
        <v>985</v>
      </c>
      <c r="F17" s="108">
        <f>Pub_Comps!F13</f>
        <v>2837.32</v>
      </c>
      <c r="G17" s="118">
        <f t="shared" si="0"/>
        <v>0.34715858627155199</v>
      </c>
      <c r="H17" s="118">
        <f t="shared" si="1"/>
        <v>1.2738949000535429</v>
      </c>
      <c r="I17" s="15"/>
      <c r="J17" s="15"/>
      <c r="K17" s="15"/>
      <c r="L17" s="15"/>
      <c r="M17" s="22"/>
      <c r="N17" s="15"/>
      <c r="O17" s="15"/>
    </row>
    <row r="18" spans="2:15" x14ac:dyDescent="0.2">
      <c r="B18" s="21" t="s">
        <v>260</v>
      </c>
      <c r="C18" s="103" t="s">
        <v>261</v>
      </c>
      <c r="D18" s="117">
        <v>1.36</v>
      </c>
      <c r="E18" s="108">
        <f>Pub_Comps!H14</f>
        <v>560</v>
      </c>
      <c r="F18" s="108">
        <f>Pub_Comps!F14</f>
        <v>2317.0699999999997</v>
      </c>
      <c r="G18" s="118">
        <f t="shared" si="0"/>
        <v>0.24168454125253017</v>
      </c>
      <c r="H18" s="118">
        <f t="shared" si="1"/>
        <v>1.1489589341772799</v>
      </c>
      <c r="I18" s="15"/>
      <c r="J18" s="15"/>
      <c r="K18" s="15"/>
      <c r="L18" s="15"/>
      <c r="M18" s="22"/>
      <c r="N18" s="15"/>
      <c r="O18" s="15"/>
    </row>
    <row r="19" spans="2:15" x14ac:dyDescent="0.2">
      <c r="B19" s="21" t="s">
        <v>262</v>
      </c>
      <c r="C19" s="103" t="s">
        <v>263</v>
      </c>
      <c r="D19" s="117">
        <v>2.0499999999999998</v>
      </c>
      <c r="E19" s="108">
        <f>Pub_Comps!H15</f>
        <v>3120</v>
      </c>
      <c r="F19" s="108">
        <f>Pub_Comps!F15</f>
        <v>3890.4349999999999</v>
      </c>
      <c r="G19" s="118">
        <f t="shared" si="0"/>
        <v>0.80196687516948617</v>
      </c>
      <c r="H19" s="118">
        <f t="shared" si="1"/>
        <v>1.2736915757625604</v>
      </c>
      <c r="I19" s="15"/>
      <c r="J19" s="15"/>
      <c r="K19" s="15"/>
      <c r="L19" s="15"/>
      <c r="M19" s="22"/>
      <c r="N19" s="15"/>
      <c r="O19" s="15"/>
    </row>
    <row r="20" spans="2:15" x14ac:dyDescent="0.2">
      <c r="B20" s="21" t="s">
        <v>264</v>
      </c>
      <c r="C20" s="103" t="s">
        <v>265</v>
      </c>
      <c r="D20" s="117">
        <v>1.18</v>
      </c>
      <c r="E20" s="108">
        <f>Pub_Comps!H16</f>
        <v>340</v>
      </c>
      <c r="F20" s="108">
        <f>Pub_Comps!F16</f>
        <v>2360.2800000000002</v>
      </c>
      <c r="G20" s="118">
        <f t="shared" si="0"/>
        <v>0.14405070584845864</v>
      </c>
      <c r="H20" s="118">
        <f t="shared" si="1"/>
        <v>1.0635627109841599</v>
      </c>
      <c r="I20" s="15"/>
      <c r="J20" s="15"/>
      <c r="K20" s="15"/>
      <c r="L20" s="15"/>
      <c r="M20" s="22"/>
      <c r="N20" s="15"/>
      <c r="O20" s="15"/>
    </row>
    <row r="21" spans="2:15" x14ac:dyDescent="0.2">
      <c r="B21" s="21" t="s">
        <v>266</v>
      </c>
      <c r="C21" s="103" t="s">
        <v>267</v>
      </c>
      <c r="D21" s="117">
        <v>1.72</v>
      </c>
      <c r="E21" s="108">
        <f>Pub_Comps!H17</f>
        <v>1675</v>
      </c>
      <c r="F21" s="108">
        <f>Pub_Comps!F17</f>
        <v>3757.2400000000002</v>
      </c>
      <c r="G21" s="118">
        <f t="shared" si="0"/>
        <v>0.4458059639522628</v>
      </c>
      <c r="H21" s="118">
        <f t="shared" si="1"/>
        <v>1.2847205699926842</v>
      </c>
      <c r="I21" s="15"/>
      <c r="J21" s="15"/>
      <c r="K21" s="15"/>
      <c r="L21" s="15"/>
      <c r="M21" s="22"/>
      <c r="N21" s="15"/>
      <c r="O21" s="15"/>
    </row>
    <row r="22" spans="2:15" x14ac:dyDescent="0.2">
      <c r="B22" s="21" t="s">
        <v>268</v>
      </c>
      <c r="C22" s="103" t="s">
        <v>269</v>
      </c>
      <c r="D22" s="117">
        <v>1.49</v>
      </c>
      <c r="E22" s="108">
        <f>Pub_Comps!H18</f>
        <v>820</v>
      </c>
      <c r="F22" s="108">
        <f>Pub_Comps!F18</f>
        <v>2608.9249999999997</v>
      </c>
      <c r="G22" s="118">
        <f t="shared" si="0"/>
        <v>0.31430570062382018</v>
      </c>
      <c r="H22" s="118">
        <f t="shared" si="1"/>
        <v>1.2027066558378776</v>
      </c>
      <c r="I22" s="15"/>
      <c r="J22" s="15"/>
      <c r="K22" s="15"/>
      <c r="L22" s="15"/>
      <c r="M22" s="22"/>
      <c r="N22" s="15"/>
      <c r="O22" s="15"/>
    </row>
    <row r="23" spans="2:15" x14ac:dyDescent="0.2">
      <c r="B23" s="15"/>
      <c r="C23" s="15"/>
      <c r="D23" s="15"/>
      <c r="E23" s="15"/>
      <c r="F23" s="15"/>
      <c r="G23" s="15"/>
      <c r="H23" s="15"/>
      <c r="I23" s="15"/>
      <c r="J23" s="15"/>
      <c r="K23" s="15"/>
      <c r="L23" s="15"/>
      <c r="M23" s="22"/>
      <c r="N23" s="15"/>
      <c r="O23" s="15"/>
    </row>
    <row r="24" spans="2:15" ht="17" thickBot="1" x14ac:dyDescent="0.25">
      <c r="B24" s="58" t="s">
        <v>27</v>
      </c>
      <c r="C24" s="15"/>
      <c r="D24" s="119">
        <f>MEDIAN(D13:D22)</f>
        <v>1.4550000000000001</v>
      </c>
      <c r="E24" s="15"/>
      <c r="F24" s="15"/>
      <c r="G24" s="119">
        <f>MEDIAN(G13:G22)</f>
        <v>0.28962756784886828</v>
      </c>
      <c r="H24" s="119">
        <f>MEDIAN(H13:H22)</f>
        <v>1.1923494254653271</v>
      </c>
      <c r="I24" s="15"/>
      <c r="J24" s="15"/>
      <c r="K24" s="15"/>
      <c r="L24" s="15"/>
      <c r="M24" s="22"/>
      <c r="N24" s="15"/>
      <c r="O24" s="15"/>
    </row>
    <row r="25" spans="2:15" ht="17" thickTop="1" x14ac:dyDescent="0.2">
      <c r="B25" s="15"/>
      <c r="C25" s="15"/>
      <c r="D25" s="15"/>
      <c r="E25" s="15"/>
      <c r="F25" s="15"/>
      <c r="G25" s="15"/>
      <c r="H25" s="15"/>
      <c r="I25" s="15"/>
      <c r="J25" s="15"/>
      <c r="K25" s="15"/>
      <c r="L25" s="15"/>
      <c r="M25" s="22"/>
      <c r="N25" s="15"/>
      <c r="O25" s="15"/>
    </row>
    <row r="26" spans="2:15" x14ac:dyDescent="0.2">
      <c r="B26" s="19" t="s">
        <v>286</v>
      </c>
      <c r="C26" s="19"/>
      <c r="D26" s="20"/>
      <c r="E26" s="19"/>
      <c r="F26" s="19"/>
      <c r="G26" s="19"/>
      <c r="H26" s="19"/>
      <c r="I26" s="19"/>
      <c r="J26" s="19"/>
      <c r="K26" s="19"/>
      <c r="L26" s="19"/>
      <c r="M26" s="22"/>
      <c r="N26" s="15"/>
      <c r="O26" s="15"/>
    </row>
    <row r="27" spans="2:15" x14ac:dyDescent="0.2">
      <c r="B27" s="15"/>
      <c r="C27" s="15"/>
      <c r="D27" s="15"/>
      <c r="E27" s="102" t="s">
        <v>287</v>
      </c>
      <c r="F27" s="102" t="s">
        <v>288</v>
      </c>
      <c r="G27" s="15"/>
      <c r="H27" s="15"/>
      <c r="I27" s="15"/>
      <c r="J27" s="15"/>
      <c r="K27" s="15"/>
      <c r="L27" s="15"/>
      <c r="M27" s="22"/>
      <c r="N27" s="15"/>
      <c r="O27" s="15"/>
    </row>
    <row r="28" spans="2:15" x14ac:dyDescent="0.2">
      <c r="B28" s="8" t="s">
        <v>289</v>
      </c>
      <c r="C28" s="15"/>
      <c r="D28" s="15"/>
      <c r="E28" s="118">
        <f>$H$24</f>
        <v>1.1923494254653271</v>
      </c>
      <c r="F28" s="118">
        <f>$H$24</f>
        <v>1.1923494254653271</v>
      </c>
      <c r="G28" s="15"/>
      <c r="H28" s="15"/>
      <c r="I28" s="15"/>
      <c r="J28" s="15"/>
      <c r="K28" s="15"/>
      <c r="L28" s="15"/>
      <c r="M28" s="22"/>
      <c r="N28" s="15"/>
      <c r="O28" s="15"/>
    </row>
    <row r="29" spans="2:15" x14ac:dyDescent="0.2">
      <c r="B29" s="8" t="s">
        <v>23</v>
      </c>
      <c r="C29" s="15"/>
      <c r="D29" s="15"/>
      <c r="E29" s="9">
        <f>Target!$E$19</f>
        <v>545</v>
      </c>
      <c r="F29" s="9">
        <f>Acquirer!$E$19</f>
        <v>1650</v>
      </c>
      <c r="G29" s="15"/>
      <c r="H29" s="15"/>
      <c r="I29" s="15"/>
      <c r="J29" s="15"/>
      <c r="K29" s="15"/>
      <c r="L29" s="15"/>
      <c r="M29" s="22"/>
      <c r="N29" s="15"/>
      <c r="O29" s="15"/>
    </row>
    <row r="30" spans="2:15" x14ac:dyDescent="0.2">
      <c r="B30" s="8" t="s">
        <v>241</v>
      </c>
      <c r="C30" s="15"/>
      <c r="D30" s="15"/>
      <c r="E30" s="9">
        <f>Target!E17</f>
        <v>2101.44</v>
      </c>
      <c r="F30" s="9">
        <f>Acquirer!$E$17</f>
        <v>4095.35</v>
      </c>
      <c r="G30" s="15"/>
      <c r="H30" s="15"/>
      <c r="I30" s="15"/>
      <c r="J30" s="15"/>
      <c r="K30" s="15"/>
      <c r="L30" s="15"/>
      <c r="M30" s="22"/>
      <c r="N30" s="15"/>
      <c r="O30" s="15"/>
    </row>
    <row r="31" spans="2:15" x14ac:dyDescent="0.2">
      <c r="B31" s="8" t="s">
        <v>284</v>
      </c>
      <c r="C31" s="15"/>
      <c r="D31" s="15"/>
      <c r="E31" s="118">
        <f>E29/E30</f>
        <v>0.25934597228567075</v>
      </c>
      <c r="F31" s="118">
        <f>F29/F30</f>
        <v>0.40289596737763561</v>
      </c>
      <c r="G31" s="15"/>
      <c r="H31" s="15"/>
      <c r="I31" s="15"/>
      <c r="J31" s="15"/>
      <c r="K31" s="15"/>
      <c r="L31" s="15"/>
      <c r="M31" s="22"/>
      <c r="N31" s="15"/>
      <c r="O31" s="15"/>
    </row>
    <row r="32" spans="2:15" x14ac:dyDescent="0.2">
      <c r="B32" s="8" t="s">
        <v>35</v>
      </c>
      <c r="C32" s="15"/>
      <c r="D32" s="15"/>
      <c r="E32" s="61">
        <f>Target!$E$10</f>
        <v>0.245</v>
      </c>
      <c r="F32" s="61">
        <f>Acquirer!$E$10</f>
        <v>0.24</v>
      </c>
      <c r="G32" s="15"/>
      <c r="H32" s="15"/>
      <c r="I32" s="15"/>
      <c r="J32" s="15"/>
      <c r="K32" s="15"/>
      <c r="L32" s="15"/>
      <c r="M32" s="22"/>
      <c r="N32" s="15"/>
      <c r="O32" s="15"/>
    </row>
    <row r="33" spans="2:15" x14ac:dyDescent="0.2">
      <c r="B33" s="8" t="s">
        <v>290</v>
      </c>
      <c r="C33" s="15"/>
      <c r="D33" s="15"/>
      <c r="E33" s="118">
        <f>$H$24*(1+(1-E32)*E31)</f>
        <v>1.4258188463592594</v>
      </c>
      <c r="F33" s="118">
        <f>$H$24*(1+(1-F32)*F31)</f>
        <v>1.557447934636343</v>
      </c>
      <c r="G33" s="15"/>
      <c r="H33" s="15"/>
      <c r="I33" s="15"/>
      <c r="J33" s="15"/>
      <c r="K33" s="15"/>
      <c r="L33" s="15"/>
      <c r="M33" s="22" t="s">
        <v>291</v>
      </c>
      <c r="N33" s="15"/>
      <c r="O33" s="15"/>
    </row>
    <row r="34" spans="2:15" x14ac:dyDescent="0.2">
      <c r="B34" s="8" t="s">
        <v>292</v>
      </c>
      <c r="C34" s="15"/>
      <c r="D34" s="15"/>
      <c r="E34" s="62">
        <f>$F$7+E33*$F$8</f>
        <v>0.12092003654975927</v>
      </c>
      <c r="F34" s="62">
        <f>$F$7+F33*$F$8</f>
        <v>0.12815963640499886</v>
      </c>
      <c r="G34" s="15"/>
      <c r="H34" s="15"/>
      <c r="I34" s="15"/>
      <c r="J34" s="15"/>
      <c r="K34" s="15"/>
      <c r="L34" s="15"/>
      <c r="M34" s="22"/>
      <c r="N34" s="15"/>
      <c r="O34" s="15"/>
    </row>
    <row r="35" spans="2:15" x14ac:dyDescent="0.2">
      <c r="B35" s="15"/>
      <c r="C35" s="15"/>
      <c r="D35" s="15"/>
      <c r="E35" s="15"/>
      <c r="F35" s="15"/>
      <c r="G35" s="15"/>
      <c r="H35" s="15"/>
      <c r="I35" s="15"/>
      <c r="J35" s="15"/>
      <c r="K35" s="15"/>
      <c r="L35" s="15"/>
      <c r="M35" s="22"/>
      <c r="N35" s="15"/>
      <c r="O35" s="15"/>
    </row>
    <row r="36" spans="2:15" x14ac:dyDescent="0.2">
      <c r="B36" s="8" t="s">
        <v>293</v>
      </c>
      <c r="C36" s="15"/>
      <c r="D36" s="15"/>
      <c r="E36" s="62">
        <f>Target!$F$75</f>
        <v>6.25E-2</v>
      </c>
      <c r="F36" s="62">
        <f>Acquirer!F75</f>
        <v>5.7500000000000002E-2</v>
      </c>
      <c r="G36" s="15"/>
      <c r="H36" s="15"/>
      <c r="I36" s="15"/>
      <c r="J36" s="15"/>
      <c r="K36" s="15"/>
      <c r="L36" s="15"/>
      <c r="M36" s="22" t="s">
        <v>294</v>
      </c>
      <c r="N36" s="15"/>
      <c r="O36" s="15"/>
    </row>
    <row r="37" spans="2:15" x14ac:dyDescent="0.2">
      <c r="B37" s="8" t="s">
        <v>295</v>
      </c>
      <c r="C37" s="15"/>
      <c r="D37" s="15"/>
      <c r="E37" s="62">
        <f>E36*(1-E32)</f>
        <v>4.71875E-2</v>
      </c>
      <c r="F37" s="62">
        <f>F36*(1-F32)</f>
        <v>4.3700000000000003E-2</v>
      </c>
      <c r="G37" s="15"/>
      <c r="H37" s="15"/>
      <c r="I37" s="15"/>
      <c r="J37" s="15"/>
      <c r="K37" s="15"/>
      <c r="L37" s="15"/>
      <c r="M37" s="22"/>
      <c r="N37" s="15"/>
      <c r="O37" s="15"/>
    </row>
    <row r="38" spans="2:15" x14ac:dyDescent="0.2">
      <c r="B38" s="15"/>
      <c r="C38" s="15"/>
      <c r="D38" s="15"/>
      <c r="E38" s="15"/>
      <c r="F38" s="15"/>
      <c r="G38" s="15"/>
      <c r="H38" s="15"/>
      <c r="I38" s="15"/>
      <c r="J38" s="15"/>
      <c r="K38" s="15"/>
      <c r="L38" s="15"/>
      <c r="M38" s="22"/>
      <c r="N38" s="15"/>
      <c r="O38" s="15"/>
    </row>
    <row r="39" spans="2:15" x14ac:dyDescent="0.2">
      <c r="B39" s="8" t="s">
        <v>33</v>
      </c>
      <c r="C39" s="15"/>
      <c r="D39" s="15"/>
      <c r="E39" s="61">
        <f>E30/(E29+E30)</f>
        <v>0.79406296760931672</v>
      </c>
      <c r="F39" s="61">
        <f>F30/(F29+F30)</f>
        <v>0.71281122995117785</v>
      </c>
      <c r="G39" s="15"/>
      <c r="H39" s="15"/>
      <c r="I39" s="15"/>
      <c r="J39" s="15"/>
      <c r="K39" s="15"/>
      <c r="L39" s="15"/>
      <c r="M39" s="22"/>
      <c r="N39" s="15"/>
      <c r="O39" s="15"/>
    </row>
    <row r="40" spans="2:15" x14ac:dyDescent="0.2">
      <c r="B40" s="8" t="s">
        <v>32</v>
      </c>
      <c r="C40" s="15"/>
      <c r="D40" s="15"/>
      <c r="E40" s="61">
        <f>E29/(E29+E30)</f>
        <v>0.20593703239068334</v>
      </c>
      <c r="F40" s="61">
        <f>F29/(F29+F30)</f>
        <v>0.2871887700488221</v>
      </c>
      <c r="G40" s="15"/>
      <c r="H40" s="15"/>
      <c r="I40" s="15"/>
      <c r="J40" s="15"/>
      <c r="K40" s="15"/>
      <c r="L40" s="15"/>
      <c r="M40" s="22"/>
      <c r="N40" s="15"/>
      <c r="O40" s="15"/>
    </row>
    <row r="41" spans="2:15" x14ac:dyDescent="0.2">
      <c r="B41" s="15"/>
      <c r="C41" s="15"/>
      <c r="D41" s="15"/>
      <c r="E41" s="15"/>
      <c r="F41" s="15"/>
      <c r="G41" s="15"/>
      <c r="H41" s="15"/>
      <c r="I41" s="15"/>
      <c r="J41" s="15"/>
      <c r="K41" s="15"/>
      <c r="L41" s="15"/>
      <c r="M41" s="22"/>
      <c r="N41" s="15"/>
      <c r="O41" s="15"/>
    </row>
    <row r="42" spans="2:15" x14ac:dyDescent="0.2">
      <c r="B42" s="22" t="s">
        <v>296</v>
      </c>
      <c r="C42" s="15"/>
      <c r="D42" s="15"/>
      <c r="E42" s="15"/>
      <c r="F42" s="15"/>
      <c r="G42" s="15"/>
      <c r="H42" s="15"/>
      <c r="I42" s="15"/>
      <c r="J42" s="15"/>
      <c r="K42" s="15"/>
      <c r="L42" s="15"/>
      <c r="M42" s="22"/>
      <c r="N42" s="15"/>
      <c r="O42" s="15"/>
    </row>
    <row r="43" spans="2:15" x14ac:dyDescent="0.2">
      <c r="B43" s="15"/>
      <c r="C43" s="15"/>
      <c r="D43" s="15"/>
      <c r="E43" s="15"/>
      <c r="F43" s="15"/>
      <c r="G43" s="15"/>
      <c r="H43" s="15"/>
      <c r="I43" s="15"/>
      <c r="J43" s="15"/>
      <c r="K43" s="15"/>
      <c r="L43" s="15"/>
      <c r="M43" s="22"/>
      <c r="N43" s="15"/>
      <c r="O43" s="15"/>
    </row>
    <row r="44" spans="2:15" ht="17" thickBot="1" x14ac:dyDescent="0.25">
      <c r="B44" s="5" t="s">
        <v>297</v>
      </c>
      <c r="C44" s="15"/>
      <c r="D44" s="15"/>
      <c r="E44" s="120">
        <f>E34*E39+E37*E40</f>
        <v>0.10573577678206426</v>
      </c>
      <c r="F44" s="120">
        <f>F34*F39+F37*F40</f>
        <v>0.10390377730707652</v>
      </c>
      <c r="G44" s="15"/>
      <c r="H44" s="15"/>
      <c r="I44" s="15"/>
      <c r="J44" s="15"/>
      <c r="K44" s="15"/>
      <c r="L44" s="15"/>
      <c r="M44" s="22" t="s">
        <v>298</v>
      </c>
      <c r="N44" s="15"/>
      <c r="O44" s="15"/>
    </row>
    <row r="45" spans="2:15" ht="17" thickTop="1" x14ac:dyDescent="0.2">
      <c r="B45" s="15"/>
      <c r="C45" s="15"/>
      <c r="D45" s="15"/>
      <c r="E45" s="15"/>
      <c r="F45" s="15"/>
      <c r="G45" s="15"/>
      <c r="H45" s="15"/>
      <c r="I45" s="15"/>
      <c r="J45" s="15"/>
      <c r="K45" s="15"/>
      <c r="L45" s="15"/>
      <c r="M45" s="15"/>
      <c r="N45" s="15"/>
      <c r="O45" s="15"/>
    </row>
    <row r="46" spans="2:15" x14ac:dyDescent="0.2">
      <c r="B46" s="15"/>
      <c r="C46" s="15"/>
      <c r="D46" s="15"/>
      <c r="E46" s="15"/>
      <c r="F46" s="15"/>
      <c r="G46" s="15"/>
      <c r="H46" s="15"/>
      <c r="I46" s="15"/>
      <c r="J46" s="15"/>
      <c r="K46" s="15"/>
      <c r="L46" s="15"/>
      <c r="M46" s="15"/>
      <c r="N46" s="15"/>
      <c r="O46" s="15"/>
    </row>
    <row r="47" spans="2:15" x14ac:dyDescent="0.2">
      <c r="B47" s="15"/>
      <c r="C47" s="15"/>
      <c r="D47" s="15"/>
      <c r="E47" s="15"/>
      <c r="F47" s="15"/>
      <c r="G47" s="15"/>
      <c r="H47" s="15"/>
      <c r="I47" s="15"/>
      <c r="J47" s="15"/>
      <c r="K47" s="15"/>
      <c r="L47" s="15"/>
      <c r="M47" s="15"/>
      <c r="N47" s="15"/>
      <c r="O47"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85720-1595-FA41-BC3F-2C8B33D5E678}">
  <dimension ref="B2:V29"/>
  <sheetViews>
    <sheetView showGridLines="0" workbookViewId="0">
      <selection activeCell="B5" sqref="B5:L5"/>
    </sheetView>
  </sheetViews>
  <sheetFormatPr baseColWidth="10" defaultRowHeight="16" x14ac:dyDescent="0.2"/>
  <cols>
    <col min="1" max="1" width="2.83203125" customWidth="1"/>
    <col min="2" max="2" width="31.83203125" customWidth="1"/>
    <col min="17" max="17" width="11" customWidth="1"/>
  </cols>
  <sheetData>
    <row r="2" spans="2:22" ht="19" x14ac:dyDescent="0.2">
      <c r="B2" s="91" t="s">
        <v>272</v>
      </c>
      <c r="C2" s="15"/>
      <c r="D2" s="15"/>
      <c r="E2" s="15"/>
      <c r="F2" s="15"/>
      <c r="G2" s="15"/>
      <c r="H2" s="15"/>
      <c r="I2" s="15"/>
      <c r="J2" s="15"/>
      <c r="K2" s="15"/>
      <c r="L2" s="15"/>
      <c r="M2" s="15"/>
      <c r="N2" s="15"/>
      <c r="O2" s="15"/>
      <c r="P2" s="15"/>
      <c r="Q2" s="15"/>
      <c r="R2" s="15"/>
      <c r="S2" s="15"/>
      <c r="T2" s="15"/>
      <c r="U2" s="15"/>
      <c r="V2" s="15"/>
    </row>
    <row r="3" spans="2:22" x14ac:dyDescent="0.2">
      <c r="B3" s="22" t="s">
        <v>222</v>
      </c>
      <c r="C3" s="15"/>
      <c r="D3" s="15"/>
      <c r="E3" s="15"/>
      <c r="F3" s="15"/>
      <c r="G3" s="15"/>
      <c r="H3" s="15"/>
      <c r="I3" s="15"/>
      <c r="J3" s="15"/>
      <c r="K3" s="15"/>
      <c r="L3" s="15"/>
      <c r="M3" s="15"/>
      <c r="N3" s="15"/>
      <c r="O3" s="15"/>
      <c r="P3" s="15"/>
      <c r="Q3" s="15"/>
      <c r="R3" s="15"/>
      <c r="S3" s="15"/>
      <c r="T3" s="15"/>
      <c r="U3" s="15"/>
      <c r="V3" s="15"/>
    </row>
    <row r="4" spans="2:22" x14ac:dyDescent="0.2">
      <c r="B4" s="22" t="s">
        <v>236</v>
      </c>
      <c r="C4" s="15"/>
      <c r="D4" s="15"/>
      <c r="E4" s="15"/>
      <c r="F4" s="15"/>
      <c r="G4" s="15"/>
      <c r="H4" s="15"/>
      <c r="I4" s="15"/>
      <c r="J4" s="15"/>
      <c r="K4" s="15"/>
      <c r="L4" s="15"/>
      <c r="M4" s="15"/>
      <c r="N4" s="15"/>
      <c r="O4" s="15"/>
      <c r="P4" s="15"/>
      <c r="Q4" s="15"/>
      <c r="R4" s="15"/>
      <c r="S4" s="15"/>
      <c r="T4" s="15"/>
      <c r="U4" s="15"/>
      <c r="V4" s="15"/>
    </row>
    <row r="5" spans="2:22" x14ac:dyDescent="0.2">
      <c r="B5" s="64" t="s">
        <v>237</v>
      </c>
      <c r="C5" s="64"/>
      <c r="D5" s="64"/>
      <c r="E5" s="64"/>
      <c r="F5" s="64"/>
      <c r="G5" s="64"/>
      <c r="H5" s="64"/>
      <c r="I5" s="64"/>
      <c r="J5" s="64"/>
      <c r="K5" s="64"/>
      <c r="L5" s="64"/>
      <c r="M5" s="22" t="s">
        <v>238</v>
      </c>
      <c r="N5" s="15"/>
      <c r="O5" s="15"/>
      <c r="P5" s="15"/>
      <c r="Q5" s="15"/>
      <c r="R5" s="15"/>
      <c r="S5" s="15"/>
      <c r="T5" s="15"/>
      <c r="U5" s="15"/>
      <c r="V5" s="15"/>
    </row>
    <row r="6" spans="2:22" x14ac:dyDescent="0.2">
      <c r="B6" s="15"/>
      <c r="C6" s="15"/>
      <c r="D6" s="15"/>
      <c r="E6" s="15"/>
      <c r="F6" s="15"/>
      <c r="G6" s="15"/>
      <c r="H6" s="15"/>
      <c r="I6" s="15"/>
      <c r="J6" s="15"/>
      <c r="K6" s="15"/>
      <c r="L6" s="15"/>
      <c r="M6" s="15"/>
      <c r="N6" s="15"/>
      <c r="O6" s="15"/>
      <c r="P6" s="15"/>
      <c r="Q6" s="15"/>
      <c r="R6" s="15"/>
      <c r="S6" s="15"/>
      <c r="T6" s="15"/>
      <c r="U6" s="15"/>
      <c r="V6" s="15"/>
    </row>
    <row r="7" spans="2:22" x14ac:dyDescent="0.2">
      <c r="B7" s="15"/>
      <c r="C7" s="15"/>
      <c r="D7" s="15"/>
      <c r="E7" s="15"/>
      <c r="F7" s="15"/>
      <c r="G7" s="15"/>
      <c r="H7" s="15"/>
      <c r="I7" s="15"/>
      <c r="J7" s="15"/>
      <c r="K7" s="15"/>
      <c r="L7" s="15"/>
      <c r="M7" s="15"/>
      <c r="N7" s="15"/>
      <c r="O7" s="15"/>
      <c r="P7" s="15"/>
      <c r="Q7" s="15"/>
      <c r="R7" s="15"/>
      <c r="S7" s="15"/>
      <c r="T7" s="15"/>
      <c r="U7" s="15"/>
      <c r="V7" s="15"/>
    </row>
    <row r="8" spans="2:22" ht="43" x14ac:dyDescent="0.2">
      <c r="B8" s="112" t="s">
        <v>239</v>
      </c>
      <c r="C8" s="112" t="s">
        <v>18</v>
      </c>
      <c r="D8" s="112" t="s">
        <v>240</v>
      </c>
      <c r="E8" s="112" t="s">
        <v>37</v>
      </c>
      <c r="F8" s="112" t="s">
        <v>241</v>
      </c>
      <c r="G8" s="112" t="s">
        <v>24</v>
      </c>
      <c r="H8" s="112" t="s">
        <v>23</v>
      </c>
      <c r="I8" s="112" t="s">
        <v>242</v>
      </c>
      <c r="J8" s="112" t="s">
        <v>243</v>
      </c>
      <c r="K8" s="112" t="s">
        <v>244</v>
      </c>
      <c r="L8" s="112" t="s">
        <v>245</v>
      </c>
      <c r="M8" s="112" t="s">
        <v>246</v>
      </c>
      <c r="N8" s="112" t="s">
        <v>247</v>
      </c>
      <c r="O8" s="112" t="s">
        <v>248</v>
      </c>
      <c r="P8" s="112" t="s">
        <v>200</v>
      </c>
      <c r="Q8" s="112" t="s">
        <v>249</v>
      </c>
      <c r="R8" s="15"/>
      <c r="S8" s="15"/>
      <c r="T8" s="15"/>
      <c r="U8" s="15"/>
      <c r="V8" s="15"/>
    </row>
    <row r="9" spans="2:22" x14ac:dyDescent="0.2">
      <c r="B9" s="21" t="s">
        <v>250</v>
      </c>
      <c r="C9" s="103" t="s">
        <v>251</v>
      </c>
      <c r="D9" s="104">
        <v>48.2</v>
      </c>
      <c r="E9" s="4">
        <v>92.4</v>
      </c>
      <c r="F9" s="9">
        <f t="shared" ref="F9:F20" si="0">D9*E9</f>
        <v>4453.68</v>
      </c>
      <c r="G9" s="10">
        <v>240</v>
      </c>
      <c r="H9" s="10">
        <v>1180</v>
      </c>
      <c r="I9" s="9">
        <f t="shared" ref="I9:I20" si="1">F9-G9+H9</f>
        <v>5393.68</v>
      </c>
      <c r="J9" s="10">
        <v>4180</v>
      </c>
      <c r="K9" s="10">
        <v>4420</v>
      </c>
      <c r="L9" s="10">
        <v>505</v>
      </c>
      <c r="M9" s="10">
        <v>555</v>
      </c>
      <c r="N9" s="61">
        <f t="shared" ref="N9:N20" si="2">L9/J9</f>
        <v>0.12081339712918661</v>
      </c>
      <c r="O9" s="63">
        <f t="shared" ref="O9:O20" si="3">I9/J9</f>
        <v>1.2903540669856459</v>
      </c>
      <c r="P9" s="63">
        <f t="shared" ref="P9:P20" si="4">I9/L9</f>
        <v>10.680554455445545</v>
      </c>
      <c r="Q9" s="63">
        <f t="shared" ref="Q9:Q20" si="5">I9/M9</f>
        <v>9.7183423423423427</v>
      </c>
      <c r="R9" s="15"/>
      <c r="S9" s="15"/>
      <c r="T9" s="15"/>
      <c r="U9" s="15"/>
      <c r="V9" s="15"/>
    </row>
    <row r="10" spans="2:22" x14ac:dyDescent="0.2">
      <c r="B10" s="21" t="s">
        <v>252</v>
      </c>
      <c r="C10" s="103" t="s">
        <v>253</v>
      </c>
      <c r="D10" s="104">
        <v>61.75</v>
      </c>
      <c r="E10" s="4">
        <v>47.8</v>
      </c>
      <c r="F10" s="9">
        <f t="shared" si="0"/>
        <v>2951.6499999999996</v>
      </c>
      <c r="G10" s="10">
        <v>165</v>
      </c>
      <c r="H10" s="10">
        <v>690</v>
      </c>
      <c r="I10" s="9">
        <f t="shared" si="1"/>
        <v>3476.6499999999996</v>
      </c>
      <c r="J10" s="10">
        <v>1780</v>
      </c>
      <c r="K10" s="10">
        <v>1900</v>
      </c>
      <c r="L10" s="10">
        <v>278</v>
      </c>
      <c r="M10" s="10">
        <v>308</v>
      </c>
      <c r="N10" s="61">
        <f t="shared" si="2"/>
        <v>0.15617977528089888</v>
      </c>
      <c r="O10" s="63">
        <f t="shared" si="3"/>
        <v>1.9531741573033705</v>
      </c>
      <c r="P10" s="63">
        <f t="shared" si="4"/>
        <v>12.50593525179856</v>
      </c>
      <c r="Q10" s="63">
        <f t="shared" si="5"/>
        <v>11.287824675324675</v>
      </c>
      <c r="R10" s="15"/>
      <c r="S10" s="15"/>
      <c r="T10" s="15"/>
      <c r="U10" s="15"/>
      <c r="V10" s="15"/>
    </row>
    <row r="11" spans="2:22" x14ac:dyDescent="0.2">
      <c r="B11" s="21" t="s">
        <v>254</v>
      </c>
      <c r="C11" s="103" t="s">
        <v>255</v>
      </c>
      <c r="D11" s="104">
        <v>22.4</v>
      </c>
      <c r="E11" s="4">
        <v>138.6</v>
      </c>
      <c r="F11" s="9">
        <f t="shared" si="0"/>
        <v>3104.64</v>
      </c>
      <c r="G11" s="10">
        <v>118</v>
      </c>
      <c r="H11" s="10">
        <v>2240</v>
      </c>
      <c r="I11" s="9">
        <f t="shared" si="1"/>
        <v>5226.6399999999994</v>
      </c>
      <c r="J11" s="10">
        <v>5640</v>
      </c>
      <c r="K11" s="10">
        <v>5880</v>
      </c>
      <c r="L11" s="10">
        <v>560</v>
      </c>
      <c r="M11" s="10">
        <v>615</v>
      </c>
      <c r="N11" s="61">
        <f t="shared" si="2"/>
        <v>9.9290780141843976E-2</v>
      </c>
      <c r="O11" s="63">
        <f t="shared" si="3"/>
        <v>0.92670921985815591</v>
      </c>
      <c r="P11" s="63">
        <f t="shared" si="4"/>
        <v>9.3332857142857133</v>
      </c>
      <c r="Q11" s="63">
        <f t="shared" si="5"/>
        <v>8.49860162601626</v>
      </c>
      <c r="R11" s="15"/>
      <c r="S11" s="15"/>
      <c r="T11" s="15"/>
      <c r="U11" s="15"/>
      <c r="V11" s="15"/>
    </row>
    <row r="12" spans="2:22" x14ac:dyDescent="0.2">
      <c r="B12" s="21" t="s">
        <v>256</v>
      </c>
      <c r="C12" s="103" t="s">
        <v>257</v>
      </c>
      <c r="D12" s="104">
        <v>74.099999999999994</v>
      </c>
      <c r="E12" s="4">
        <v>33.5</v>
      </c>
      <c r="F12" s="9">
        <f t="shared" si="0"/>
        <v>2482.35</v>
      </c>
      <c r="G12" s="10">
        <v>205</v>
      </c>
      <c r="H12" s="10">
        <v>415</v>
      </c>
      <c r="I12" s="9">
        <f t="shared" si="1"/>
        <v>2692.35</v>
      </c>
      <c r="J12" s="10">
        <v>1240</v>
      </c>
      <c r="K12" s="10">
        <v>1320</v>
      </c>
      <c r="L12" s="10">
        <v>205</v>
      </c>
      <c r="M12" s="10">
        <v>228</v>
      </c>
      <c r="N12" s="61">
        <f t="shared" si="2"/>
        <v>0.16532258064516128</v>
      </c>
      <c r="O12" s="63">
        <f t="shared" si="3"/>
        <v>2.1712500000000001</v>
      </c>
      <c r="P12" s="63">
        <f t="shared" si="4"/>
        <v>13.133414634146341</v>
      </c>
      <c r="Q12" s="63">
        <f t="shared" si="5"/>
        <v>11.808552631578946</v>
      </c>
      <c r="R12" s="15"/>
      <c r="S12" s="15"/>
      <c r="T12" s="15"/>
      <c r="U12" s="15"/>
      <c r="V12" s="15"/>
    </row>
    <row r="13" spans="2:22" x14ac:dyDescent="0.2">
      <c r="B13" s="21" t="s">
        <v>258</v>
      </c>
      <c r="C13" s="103" t="s">
        <v>259</v>
      </c>
      <c r="D13" s="104">
        <v>39.85</v>
      </c>
      <c r="E13" s="4">
        <v>71.2</v>
      </c>
      <c r="F13" s="9">
        <f t="shared" si="0"/>
        <v>2837.32</v>
      </c>
      <c r="G13" s="10">
        <v>96</v>
      </c>
      <c r="H13" s="10">
        <v>985</v>
      </c>
      <c r="I13" s="9">
        <f t="shared" si="1"/>
        <v>3726.32</v>
      </c>
      <c r="J13" s="10">
        <v>2860</v>
      </c>
      <c r="K13" s="10">
        <v>3010</v>
      </c>
      <c r="L13" s="10">
        <v>340</v>
      </c>
      <c r="M13" s="10">
        <v>374</v>
      </c>
      <c r="N13" s="61">
        <f t="shared" si="2"/>
        <v>0.11888111888111888</v>
      </c>
      <c r="O13" s="63">
        <f t="shared" si="3"/>
        <v>1.302909090909091</v>
      </c>
      <c r="P13" s="63">
        <f t="shared" si="4"/>
        <v>10.959764705882353</v>
      </c>
      <c r="Q13" s="63">
        <f t="shared" si="5"/>
        <v>9.9634224598930494</v>
      </c>
      <c r="R13" s="15"/>
      <c r="S13" s="15"/>
      <c r="T13" s="15"/>
      <c r="U13" s="15"/>
      <c r="V13" s="15"/>
    </row>
    <row r="14" spans="2:22" x14ac:dyDescent="0.2">
      <c r="B14" s="21" t="s">
        <v>260</v>
      </c>
      <c r="C14" s="103" t="s">
        <v>261</v>
      </c>
      <c r="D14" s="104">
        <v>55.3</v>
      </c>
      <c r="E14" s="4">
        <v>41.9</v>
      </c>
      <c r="F14" s="9">
        <f t="shared" si="0"/>
        <v>2317.0699999999997</v>
      </c>
      <c r="G14" s="10">
        <v>142</v>
      </c>
      <c r="H14" s="10">
        <v>560</v>
      </c>
      <c r="I14" s="9">
        <f t="shared" si="1"/>
        <v>2735.0699999999997</v>
      </c>
      <c r="J14" s="10">
        <v>1510</v>
      </c>
      <c r="K14" s="10">
        <v>1615</v>
      </c>
      <c r="L14" s="10">
        <v>228</v>
      </c>
      <c r="M14" s="10">
        <v>252</v>
      </c>
      <c r="N14" s="61">
        <f t="shared" si="2"/>
        <v>0.15099337748344371</v>
      </c>
      <c r="O14" s="63">
        <f t="shared" si="3"/>
        <v>1.8113046357615892</v>
      </c>
      <c r="P14" s="63">
        <f t="shared" si="4"/>
        <v>11.995921052631578</v>
      </c>
      <c r="Q14" s="63">
        <f t="shared" si="5"/>
        <v>10.85345238095238</v>
      </c>
      <c r="R14" s="15"/>
      <c r="S14" s="15"/>
      <c r="T14" s="15"/>
      <c r="U14" s="15"/>
      <c r="V14" s="15"/>
    </row>
    <row r="15" spans="2:22" x14ac:dyDescent="0.2">
      <c r="B15" s="21" t="s">
        <v>262</v>
      </c>
      <c r="C15" s="103" t="s">
        <v>263</v>
      </c>
      <c r="D15" s="104">
        <v>18.95</v>
      </c>
      <c r="E15" s="4">
        <v>205.3</v>
      </c>
      <c r="F15" s="9">
        <f t="shared" si="0"/>
        <v>3890.4349999999999</v>
      </c>
      <c r="G15" s="10">
        <v>88</v>
      </c>
      <c r="H15" s="10">
        <v>3120</v>
      </c>
      <c r="I15" s="9">
        <f t="shared" si="1"/>
        <v>6922.4349999999995</v>
      </c>
      <c r="J15" s="10">
        <v>7320</v>
      </c>
      <c r="K15" s="10">
        <v>7610</v>
      </c>
      <c r="L15" s="10">
        <v>730</v>
      </c>
      <c r="M15" s="10">
        <v>800</v>
      </c>
      <c r="N15" s="61">
        <f t="shared" si="2"/>
        <v>9.9726775956284153E-2</v>
      </c>
      <c r="O15" s="63">
        <f t="shared" si="3"/>
        <v>0.94568784153005458</v>
      </c>
      <c r="P15" s="63">
        <f t="shared" si="4"/>
        <v>9.4827876712328756</v>
      </c>
      <c r="Q15" s="63">
        <f t="shared" si="5"/>
        <v>8.6530437500000001</v>
      </c>
      <c r="R15" s="15"/>
      <c r="S15" s="15"/>
      <c r="T15" s="15"/>
      <c r="U15" s="15"/>
      <c r="V15" s="15"/>
    </row>
    <row r="16" spans="2:22" x14ac:dyDescent="0.2">
      <c r="B16" s="21" t="s">
        <v>264</v>
      </c>
      <c r="C16" s="103" t="s">
        <v>265</v>
      </c>
      <c r="D16" s="104">
        <v>88.4</v>
      </c>
      <c r="E16" s="4">
        <v>26.7</v>
      </c>
      <c r="F16" s="9">
        <f t="shared" si="0"/>
        <v>2360.2800000000002</v>
      </c>
      <c r="G16" s="10">
        <v>310</v>
      </c>
      <c r="H16" s="10">
        <v>340</v>
      </c>
      <c r="I16" s="9">
        <f t="shared" si="1"/>
        <v>2390.2800000000002</v>
      </c>
      <c r="J16" s="10">
        <v>985</v>
      </c>
      <c r="K16" s="10">
        <v>1045</v>
      </c>
      <c r="L16" s="10">
        <v>185</v>
      </c>
      <c r="M16" s="10">
        <v>202</v>
      </c>
      <c r="N16" s="61">
        <f t="shared" si="2"/>
        <v>0.18781725888324874</v>
      </c>
      <c r="O16" s="63">
        <f t="shared" si="3"/>
        <v>2.4266802030456853</v>
      </c>
      <c r="P16" s="63">
        <f t="shared" si="4"/>
        <v>12.920432432432433</v>
      </c>
      <c r="Q16" s="63">
        <f t="shared" si="5"/>
        <v>11.833069306930694</v>
      </c>
      <c r="R16" s="15"/>
      <c r="S16" s="15"/>
      <c r="T16" s="15"/>
      <c r="U16" s="15"/>
      <c r="V16" s="15"/>
    </row>
    <row r="17" spans="2:22" x14ac:dyDescent="0.2">
      <c r="B17" s="21" t="s">
        <v>266</v>
      </c>
      <c r="C17" s="103" t="s">
        <v>267</v>
      </c>
      <c r="D17" s="104">
        <v>31.6</v>
      </c>
      <c r="E17" s="4">
        <v>118.9</v>
      </c>
      <c r="F17" s="9">
        <f t="shared" si="0"/>
        <v>3757.2400000000002</v>
      </c>
      <c r="G17" s="10">
        <v>130</v>
      </c>
      <c r="H17" s="10">
        <v>1675</v>
      </c>
      <c r="I17" s="9">
        <f t="shared" si="1"/>
        <v>5302.24</v>
      </c>
      <c r="J17" s="10">
        <v>3940</v>
      </c>
      <c r="K17" s="10">
        <v>4130</v>
      </c>
      <c r="L17" s="10">
        <v>490</v>
      </c>
      <c r="M17" s="10">
        <v>540</v>
      </c>
      <c r="N17" s="61">
        <f t="shared" si="2"/>
        <v>0.12436548223350254</v>
      </c>
      <c r="O17" s="63">
        <f t="shared" si="3"/>
        <v>1.3457461928934009</v>
      </c>
      <c r="P17" s="63">
        <f t="shared" si="4"/>
        <v>10.820897959183673</v>
      </c>
      <c r="Q17" s="63">
        <f t="shared" si="5"/>
        <v>9.8189629629629618</v>
      </c>
      <c r="R17" s="15"/>
      <c r="S17" s="15"/>
      <c r="T17" s="15"/>
      <c r="U17" s="15"/>
      <c r="V17" s="15"/>
    </row>
    <row r="18" spans="2:22" x14ac:dyDescent="0.2">
      <c r="B18" s="21" t="s">
        <v>268</v>
      </c>
      <c r="C18" s="103" t="s">
        <v>269</v>
      </c>
      <c r="D18" s="104">
        <v>44.75</v>
      </c>
      <c r="E18" s="4">
        <v>58.3</v>
      </c>
      <c r="F18" s="9">
        <f t="shared" si="0"/>
        <v>2608.9249999999997</v>
      </c>
      <c r="G18" s="10">
        <v>178</v>
      </c>
      <c r="H18" s="10">
        <v>820</v>
      </c>
      <c r="I18" s="9">
        <f t="shared" si="1"/>
        <v>3250.9249999999997</v>
      </c>
      <c r="J18" s="10">
        <v>2240</v>
      </c>
      <c r="K18" s="10">
        <v>2390</v>
      </c>
      <c r="L18" s="10">
        <v>285</v>
      </c>
      <c r="M18" s="10">
        <v>315</v>
      </c>
      <c r="N18" s="61">
        <f t="shared" si="2"/>
        <v>0.12723214285714285</v>
      </c>
      <c r="O18" s="63">
        <f t="shared" si="3"/>
        <v>1.4513058035714284</v>
      </c>
      <c r="P18" s="63">
        <f t="shared" si="4"/>
        <v>11.406754385964911</v>
      </c>
      <c r="Q18" s="63">
        <f t="shared" si="5"/>
        <v>10.320396825396825</v>
      </c>
      <c r="R18" s="15"/>
      <c r="S18" s="15"/>
      <c r="T18" s="15"/>
      <c r="U18" s="15"/>
      <c r="V18" s="15"/>
    </row>
    <row r="19" spans="2:22" x14ac:dyDescent="0.2">
      <c r="B19" s="58" t="s">
        <v>45</v>
      </c>
      <c r="C19" s="105" t="s">
        <v>46</v>
      </c>
      <c r="D19" s="106">
        <f>Acquirer!E11</f>
        <v>34.5</v>
      </c>
      <c r="E19" s="107">
        <f>Acquirer!E15</f>
        <v>118.70579710144928</v>
      </c>
      <c r="F19" s="9">
        <f t="shared" si="0"/>
        <v>4095.35</v>
      </c>
      <c r="G19" s="108">
        <f>Acquirer!F116</f>
        <v>362.16441700086324</v>
      </c>
      <c r="H19" s="108">
        <f>Acquirer!F135</f>
        <v>1534.2</v>
      </c>
      <c r="I19" s="9">
        <f t="shared" si="1"/>
        <v>5267.3855829991371</v>
      </c>
      <c r="J19" s="108">
        <f>Acquirer!F90</f>
        <v>6445.5749999999989</v>
      </c>
      <c r="K19" s="108">
        <f>Acquirer!G90</f>
        <v>6756.0869999999995</v>
      </c>
      <c r="L19" s="108">
        <f>Acquirer!F192</f>
        <v>635.80590699999959</v>
      </c>
      <c r="M19" s="108">
        <f>Acquirer!G192</f>
        <v>675.99632592999978</v>
      </c>
      <c r="N19" s="61">
        <f t="shared" si="2"/>
        <v>9.8642232384232545E-2</v>
      </c>
      <c r="O19" s="63">
        <f t="shared" si="3"/>
        <v>0.81720957137247463</v>
      </c>
      <c r="P19" s="63">
        <f t="shared" si="4"/>
        <v>8.2845810726309281</v>
      </c>
      <c r="Q19" s="63">
        <f t="shared" si="5"/>
        <v>7.7920328572090218</v>
      </c>
      <c r="R19" s="22" t="s">
        <v>271</v>
      </c>
      <c r="S19" s="15"/>
      <c r="T19" s="15"/>
      <c r="U19" s="15"/>
      <c r="V19" s="15"/>
    </row>
    <row r="20" spans="2:22" x14ac:dyDescent="0.2">
      <c r="B20" s="58" t="s">
        <v>219</v>
      </c>
      <c r="C20" s="105" t="s">
        <v>220</v>
      </c>
      <c r="D20" s="106">
        <f>Target!E11</f>
        <v>37.799999999999997</v>
      </c>
      <c r="E20" s="107">
        <f>Target!E15</f>
        <v>55.593650793650795</v>
      </c>
      <c r="F20" s="9">
        <f t="shared" si="0"/>
        <v>2101.44</v>
      </c>
      <c r="G20" s="108">
        <f>Target!F116</f>
        <v>220.26067174994691</v>
      </c>
      <c r="H20" s="108">
        <f>Target!F135</f>
        <v>506.7</v>
      </c>
      <c r="I20" s="9">
        <f t="shared" si="1"/>
        <v>2387.8793282500533</v>
      </c>
      <c r="J20" s="108">
        <f>Target!F90</f>
        <v>2708.5</v>
      </c>
      <c r="K20" s="108">
        <f>Target!G90</f>
        <v>2854.0245</v>
      </c>
      <c r="L20" s="108">
        <f>Target!F192</f>
        <v>317.72121520000007</v>
      </c>
      <c r="M20" s="108">
        <f>Target!G192</f>
        <v>347.03477438399995</v>
      </c>
      <c r="N20" s="61">
        <f t="shared" si="2"/>
        <v>0.11730522990585197</v>
      </c>
      <c r="O20" s="63">
        <f t="shared" si="3"/>
        <v>0.88162426739894895</v>
      </c>
      <c r="P20" s="63">
        <f t="shared" si="4"/>
        <v>7.5156433187721632</v>
      </c>
      <c r="Q20" s="63">
        <f t="shared" si="5"/>
        <v>6.8808070675010331</v>
      </c>
      <c r="R20" s="22"/>
      <c r="S20" s="15"/>
      <c r="T20" s="15"/>
      <c r="U20" s="15"/>
      <c r="V20" s="15"/>
    </row>
    <row r="21" spans="2:22" x14ac:dyDescent="0.2">
      <c r="B21" s="15"/>
      <c r="C21" s="15"/>
      <c r="D21" s="15"/>
      <c r="E21" s="15"/>
      <c r="F21" s="15"/>
      <c r="G21" s="15"/>
      <c r="H21" s="15"/>
      <c r="I21" s="15"/>
      <c r="J21" s="15"/>
      <c r="K21" s="15"/>
      <c r="L21" s="15"/>
      <c r="M21" s="15"/>
      <c r="N21" s="15"/>
      <c r="O21" s="15"/>
      <c r="P21" s="15"/>
      <c r="Q21" s="15"/>
      <c r="R21" s="22"/>
      <c r="S21" s="15"/>
      <c r="T21" s="15"/>
      <c r="U21" s="15"/>
      <c r="V21" s="15"/>
    </row>
    <row r="22" spans="2:22" x14ac:dyDescent="0.2">
      <c r="B22" s="5" t="s">
        <v>25</v>
      </c>
      <c r="C22" s="15"/>
      <c r="D22" s="15"/>
      <c r="E22" s="15"/>
      <c r="F22" s="15"/>
      <c r="G22" s="15"/>
      <c r="H22" s="15"/>
      <c r="I22" s="15"/>
      <c r="J22" s="15"/>
      <c r="K22" s="15"/>
      <c r="L22" s="15"/>
      <c r="M22" s="15"/>
      <c r="N22" s="61">
        <f>MAX(N9:N20)</f>
        <v>0.18781725888324874</v>
      </c>
      <c r="O22" s="63">
        <f>MAX(O9:O20)</f>
        <v>2.4266802030456853</v>
      </c>
      <c r="P22" s="63">
        <f>MAX(P9:P20)</f>
        <v>13.133414634146341</v>
      </c>
      <c r="Q22" s="63">
        <f>MAX(Q9:Q20)</f>
        <v>11.833069306930694</v>
      </c>
      <c r="R22" s="22"/>
      <c r="S22" s="15"/>
      <c r="T22" s="15"/>
      <c r="U22" s="15"/>
      <c r="V22" s="15"/>
    </row>
    <row r="23" spans="2:22" x14ac:dyDescent="0.2">
      <c r="B23" s="5" t="s">
        <v>26</v>
      </c>
      <c r="C23" s="15"/>
      <c r="D23" s="15"/>
      <c r="E23" s="15"/>
      <c r="F23" s="15"/>
      <c r="G23" s="15"/>
      <c r="H23" s="15"/>
      <c r="I23" s="15"/>
      <c r="J23" s="15"/>
      <c r="K23" s="15"/>
      <c r="L23" s="15"/>
      <c r="M23" s="15"/>
      <c r="N23" s="61">
        <f>QUARTILE(N9:N20,3)</f>
        <v>0.15228997693280749</v>
      </c>
      <c r="O23" s="63">
        <f>QUARTILE(O9:O20,3)</f>
        <v>1.8467720161470345</v>
      </c>
      <c r="P23" s="63">
        <f>QUARTILE(P9:P20,3)</f>
        <v>12.123424602423324</v>
      </c>
      <c r="Q23" s="63">
        <f>QUARTILE(Q9:Q20,3)</f>
        <v>10.962045454545454</v>
      </c>
      <c r="R23" s="22"/>
      <c r="S23" s="15"/>
      <c r="T23" s="15"/>
      <c r="U23" s="15"/>
      <c r="V23" s="15"/>
    </row>
    <row r="24" spans="2:22" x14ac:dyDescent="0.2">
      <c r="B24" s="5" t="s">
        <v>27</v>
      </c>
      <c r="C24" s="15"/>
      <c r="D24" s="15"/>
      <c r="E24" s="15"/>
      <c r="F24" s="15"/>
      <c r="G24" s="15"/>
      <c r="H24" s="15"/>
      <c r="I24" s="15"/>
      <c r="J24" s="15"/>
      <c r="K24" s="15"/>
      <c r="L24" s="15"/>
      <c r="M24" s="15"/>
      <c r="N24" s="109">
        <f>MEDIAN(N9:N20)</f>
        <v>0.12258943968134457</v>
      </c>
      <c r="O24" s="110">
        <f>MEDIAN(O9:O20)</f>
        <v>1.324327641901246</v>
      </c>
      <c r="P24" s="110">
        <f>MEDIAN(P9:P20)</f>
        <v>10.890331332533012</v>
      </c>
      <c r="Q24" s="110">
        <f>MEDIAN(Q9:Q20)</f>
        <v>9.8911927114280047</v>
      </c>
      <c r="R24" s="22" t="s">
        <v>270</v>
      </c>
      <c r="S24" s="15"/>
      <c r="T24" s="15"/>
      <c r="U24" s="15"/>
      <c r="V24" s="15"/>
    </row>
    <row r="25" spans="2:22" x14ac:dyDescent="0.2">
      <c r="B25" s="5" t="s">
        <v>28</v>
      </c>
      <c r="C25" s="15"/>
      <c r="D25" s="15"/>
      <c r="E25" s="15"/>
      <c r="F25" s="15"/>
      <c r="G25" s="15"/>
      <c r="H25" s="15"/>
      <c r="I25" s="15"/>
      <c r="J25" s="15"/>
      <c r="K25" s="15"/>
      <c r="L25" s="15"/>
      <c r="M25" s="15"/>
      <c r="N25" s="61">
        <f>QUARTILE(N9:N20,1)</f>
        <v>0.11291061641846002</v>
      </c>
      <c r="O25" s="63">
        <f>QUARTILE(O9:O20,1)</f>
        <v>0.94094318611207994</v>
      </c>
      <c r="P25" s="63">
        <f>QUARTILE(P9:P20,1)</f>
        <v>9.445412181996085</v>
      </c>
      <c r="Q25" s="63">
        <f>QUARTILE(Q9:Q20,1)</f>
        <v>8.6144332190040647</v>
      </c>
      <c r="R25" s="15"/>
      <c r="S25" s="15"/>
      <c r="T25" s="15"/>
      <c r="U25" s="15"/>
      <c r="V25" s="15"/>
    </row>
    <row r="26" spans="2:22" x14ac:dyDescent="0.2">
      <c r="B26" s="5" t="s">
        <v>29</v>
      </c>
      <c r="C26" s="15"/>
      <c r="D26" s="15"/>
      <c r="E26" s="15"/>
      <c r="F26" s="15"/>
      <c r="G26" s="15"/>
      <c r="H26" s="15"/>
      <c r="I26" s="15"/>
      <c r="J26" s="15"/>
      <c r="K26" s="15"/>
      <c r="L26" s="15"/>
      <c r="M26" s="15"/>
      <c r="N26" s="61">
        <f>MIN(N9:N20)</f>
        <v>9.8642232384232545E-2</v>
      </c>
      <c r="O26" s="63">
        <f>MIN(O9:O20)</f>
        <v>0.81720957137247463</v>
      </c>
      <c r="P26" s="63">
        <f>MIN(P9:P20)</f>
        <v>7.5156433187721632</v>
      </c>
      <c r="Q26" s="63">
        <f>MIN(Q9:Q20)</f>
        <v>6.8808070675010331</v>
      </c>
      <c r="R26" s="15"/>
      <c r="S26" s="15"/>
      <c r="T26" s="15"/>
      <c r="U26" s="15"/>
      <c r="V26" s="15"/>
    </row>
    <row r="27" spans="2:22" x14ac:dyDescent="0.2">
      <c r="B27" s="15"/>
      <c r="C27" s="15"/>
      <c r="D27" s="15"/>
      <c r="E27" s="15"/>
      <c r="F27" s="15"/>
      <c r="G27" s="15"/>
      <c r="H27" s="15"/>
      <c r="I27" s="15"/>
      <c r="J27" s="15"/>
      <c r="K27" s="15"/>
      <c r="L27" s="15"/>
      <c r="M27" s="15"/>
      <c r="N27" s="15"/>
      <c r="O27" s="15"/>
      <c r="P27" s="15"/>
      <c r="Q27" s="15"/>
      <c r="R27" s="15"/>
      <c r="S27" s="15"/>
      <c r="T27" s="15"/>
      <c r="U27" s="15"/>
      <c r="V27" s="15"/>
    </row>
    <row r="28" spans="2:22" x14ac:dyDescent="0.2">
      <c r="B28" s="15"/>
      <c r="C28" s="15"/>
      <c r="D28" s="15"/>
      <c r="E28" s="15"/>
      <c r="F28" s="15"/>
      <c r="G28" s="15"/>
      <c r="H28" s="15"/>
      <c r="I28" s="15"/>
      <c r="J28" s="15"/>
      <c r="K28" s="15"/>
      <c r="L28" s="15"/>
      <c r="M28" s="15"/>
      <c r="N28" s="15"/>
      <c r="O28" s="15"/>
      <c r="P28" s="15"/>
      <c r="Q28" s="15"/>
      <c r="R28" s="15"/>
      <c r="S28" s="15"/>
      <c r="T28" s="15"/>
      <c r="U28" s="15"/>
      <c r="V28" s="15"/>
    </row>
    <row r="29" spans="2:22" x14ac:dyDescent="0.2">
      <c r="B29" s="15"/>
      <c r="C29" s="15"/>
      <c r="D29" s="15"/>
      <c r="E29" s="15"/>
      <c r="F29" s="15"/>
      <c r="G29" s="15"/>
      <c r="H29" s="15"/>
      <c r="I29" s="15"/>
      <c r="J29" s="15"/>
      <c r="K29" s="15"/>
      <c r="L29" s="15"/>
      <c r="M29" s="15"/>
      <c r="N29" s="15"/>
      <c r="O29" s="15"/>
      <c r="P29" s="15"/>
      <c r="Q29" s="15"/>
      <c r="R29" s="15"/>
      <c r="S29" s="15"/>
      <c r="T29" s="15"/>
      <c r="U29" s="15"/>
      <c r="V29"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291A-C5E3-754C-9F86-10054698273D}">
  <dimension ref="B2:AE35"/>
  <sheetViews>
    <sheetView showGridLines="0" workbookViewId="0">
      <selection activeCell="B5" sqref="B5:L5"/>
    </sheetView>
  </sheetViews>
  <sheetFormatPr baseColWidth="10" defaultRowHeight="16" x14ac:dyDescent="0.2"/>
  <cols>
    <col min="1" max="1" width="2.83203125" customWidth="1"/>
    <col min="2" max="2" width="32.5" customWidth="1"/>
    <col min="3" max="3" width="29.6640625" customWidth="1"/>
  </cols>
  <sheetData>
    <row r="2" spans="2:31" ht="19" x14ac:dyDescent="0.2">
      <c r="B2" s="91" t="s">
        <v>665</v>
      </c>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spans="2:31" x14ac:dyDescent="0.2">
      <c r="B3" s="22" t="s">
        <v>222</v>
      </c>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row>
    <row r="4" spans="2:31" x14ac:dyDescent="0.2">
      <c r="B4" s="22" t="s">
        <v>642</v>
      </c>
      <c r="C4" s="15"/>
      <c r="D4" s="15"/>
      <c r="E4" s="15"/>
      <c r="F4" s="15"/>
      <c r="G4" s="15"/>
      <c r="H4" s="15"/>
      <c r="I4" s="15"/>
      <c r="J4" s="15"/>
      <c r="K4" s="15"/>
      <c r="L4" s="15"/>
      <c r="M4" s="22"/>
      <c r="N4" s="15"/>
      <c r="O4" s="15"/>
      <c r="P4" s="15"/>
      <c r="Q4" s="15"/>
      <c r="R4" s="15"/>
      <c r="S4" s="15"/>
      <c r="T4" s="15"/>
      <c r="U4" s="15"/>
      <c r="V4" s="15"/>
      <c r="W4" s="15"/>
      <c r="X4" s="15"/>
      <c r="Y4" s="15"/>
      <c r="Z4" s="15"/>
      <c r="AA4" s="15"/>
      <c r="AB4" s="15"/>
      <c r="AC4" s="15"/>
      <c r="AD4" s="15"/>
      <c r="AE4" s="15"/>
    </row>
    <row r="5" spans="2:31" x14ac:dyDescent="0.2">
      <c r="B5" s="64" t="s">
        <v>643</v>
      </c>
      <c r="C5" s="64"/>
      <c r="D5" s="64"/>
      <c r="E5" s="64"/>
      <c r="F5" s="64"/>
      <c r="G5" s="64"/>
      <c r="H5" s="64"/>
      <c r="I5" s="64"/>
      <c r="J5" s="64"/>
      <c r="K5" s="64"/>
      <c r="L5" s="64"/>
      <c r="M5" s="22" t="s">
        <v>668</v>
      </c>
      <c r="N5" s="15"/>
      <c r="O5" s="15"/>
      <c r="P5" s="15"/>
      <c r="Q5" s="15"/>
      <c r="R5" s="15"/>
      <c r="S5" s="15"/>
      <c r="T5" s="15"/>
      <c r="U5" s="15"/>
      <c r="V5" s="15"/>
      <c r="W5" s="15"/>
      <c r="X5" s="15"/>
      <c r="Y5" s="15"/>
      <c r="Z5" s="15"/>
      <c r="AA5" s="15"/>
      <c r="AB5" s="15"/>
      <c r="AC5" s="15"/>
      <c r="AD5" s="15"/>
      <c r="AE5" s="15"/>
    </row>
    <row r="6" spans="2:31" x14ac:dyDescent="0.2">
      <c r="B6" s="15"/>
      <c r="C6" s="15"/>
      <c r="D6" s="15"/>
      <c r="E6" s="15"/>
      <c r="F6" s="15"/>
      <c r="G6" s="15"/>
      <c r="H6" s="15"/>
      <c r="I6" s="15"/>
      <c r="J6" s="15"/>
      <c r="K6" s="15"/>
      <c r="L6" s="15"/>
      <c r="M6" s="22"/>
      <c r="N6" s="15"/>
      <c r="O6" s="15"/>
      <c r="P6" s="15"/>
      <c r="Q6" s="15"/>
      <c r="R6" s="15"/>
      <c r="S6" s="15"/>
      <c r="T6" s="15"/>
      <c r="U6" s="15"/>
      <c r="V6" s="15"/>
      <c r="W6" s="15"/>
      <c r="X6" s="15"/>
      <c r="Y6" s="15"/>
      <c r="Z6" s="15"/>
      <c r="AA6" s="15"/>
      <c r="AB6" s="15"/>
      <c r="AC6" s="15"/>
      <c r="AD6" s="15"/>
      <c r="AE6" s="15"/>
    </row>
    <row r="7" spans="2:31" x14ac:dyDescent="0.2">
      <c r="B7" s="15"/>
      <c r="C7" s="15"/>
      <c r="D7" s="15"/>
      <c r="E7" s="15"/>
      <c r="F7" s="15"/>
      <c r="G7" s="15"/>
      <c r="H7" s="15"/>
      <c r="I7" s="15"/>
      <c r="J7" s="15"/>
      <c r="K7" s="15"/>
      <c r="L7" s="15"/>
      <c r="M7" s="22"/>
      <c r="N7" s="15"/>
      <c r="O7" s="15"/>
      <c r="P7" s="15"/>
      <c r="Q7" s="15"/>
      <c r="R7" s="15"/>
      <c r="S7" s="15"/>
      <c r="T7" s="15"/>
      <c r="U7" s="15"/>
      <c r="V7" s="15"/>
      <c r="W7" s="15"/>
      <c r="X7" s="15"/>
      <c r="Y7" s="15"/>
      <c r="Z7" s="15"/>
      <c r="AA7" s="15"/>
      <c r="AB7" s="15"/>
      <c r="AC7" s="15"/>
      <c r="AD7" s="15"/>
      <c r="AE7" s="15"/>
    </row>
    <row r="8" spans="2:31" ht="29" x14ac:dyDescent="0.2">
      <c r="B8" s="101" t="s">
        <v>15</v>
      </c>
      <c r="C8" s="101" t="s">
        <v>16</v>
      </c>
      <c r="D8" s="101" t="s">
        <v>644</v>
      </c>
      <c r="E8" s="101" t="s">
        <v>242</v>
      </c>
      <c r="F8" s="101" t="s">
        <v>645</v>
      </c>
      <c r="G8" s="101" t="s">
        <v>646</v>
      </c>
      <c r="H8" s="101" t="s">
        <v>20</v>
      </c>
      <c r="I8" s="101" t="s">
        <v>21</v>
      </c>
      <c r="J8" s="15"/>
      <c r="K8" s="15"/>
      <c r="L8" s="15"/>
      <c r="M8" s="22"/>
      <c r="N8" s="15"/>
      <c r="O8" s="15"/>
      <c r="P8" s="15"/>
      <c r="Q8" s="15"/>
      <c r="R8" s="15"/>
      <c r="S8" s="15"/>
      <c r="T8" s="15"/>
      <c r="U8" s="15"/>
      <c r="V8" s="15"/>
      <c r="W8" s="15"/>
      <c r="X8" s="15"/>
      <c r="Y8" s="15"/>
      <c r="Z8" s="15"/>
      <c r="AA8" s="15"/>
      <c r="AB8" s="15"/>
      <c r="AC8" s="15"/>
      <c r="AD8" s="15"/>
      <c r="AE8" s="15"/>
    </row>
    <row r="9" spans="2:31" x14ac:dyDescent="0.2">
      <c r="B9" s="21" t="s">
        <v>250</v>
      </c>
      <c r="C9" s="21" t="s">
        <v>647</v>
      </c>
      <c r="D9" s="155" t="s">
        <v>648</v>
      </c>
      <c r="E9" s="10">
        <v>1285</v>
      </c>
      <c r="F9" s="10">
        <v>640</v>
      </c>
      <c r="G9" s="10">
        <v>118</v>
      </c>
      <c r="H9" s="63">
        <f t="shared" ref="H9:H16" si="0">E9/F9</f>
        <v>2.0078125</v>
      </c>
      <c r="I9" s="63">
        <f t="shared" ref="I9:I16" si="1">E9/G9</f>
        <v>10.889830508474576</v>
      </c>
      <c r="J9" s="15"/>
      <c r="K9" s="15"/>
      <c r="L9" s="15"/>
      <c r="M9" s="22"/>
      <c r="N9" s="15"/>
      <c r="O9" s="15"/>
      <c r="P9" s="15"/>
      <c r="Q9" s="15"/>
      <c r="R9" s="15"/>
      <c r="S9" s="15"/>
      <c r="T9" s="15"/>
      <c r="U9" s="15"/>
      <c r="V9" s="15"/>
      <c r="W9" s="15"/>
      <c r="X9" s="15"/>
      <c r="Y9" s="15"/>
      <c r="Z9" s="15"/>
      <c r="AA9" s="15"/>
      <c r="AB9" s="15"/>
      <c r="AC9" s="15"/>
      <c r="AD9" s="15"/>
      <c r="AE9" s="15"/>
    </row>
    <row r="10" spans="2:31" x14ac:dyDescent="0.2">
      <c r="B10" s="21" t="s">
        <v>262</v>
      </c>
      <c r="C10" s="21" t="s">
        <v>649</v>
      </c>
      <c r="D10" s="155" t="s">
        <v>650</v>
      </c>
      <c r="E10" s="10">
        <v>2340</v>
      </c>
      <c r="F10" s="10">
        <v>1480</v>
      </c>
      <c r="G10" s="10">
        <v>208</v>
      </c>
      <c r="H10" s="63">
        <f t="shared" si="0"/>
        <v>1.5810810810810811</v>
      </c>
      <c r="I10" s="63">
        <f t="shared" si="1"/>
        <v>11.25</v>
      </c>
      <c r="J10" s="15"/>
      <c r="K10" s="15"/>
      <c r="L10" s="15"/>
      <c r="M10" s="22"/>
      <c r="N10" s="15"/>
      <c r="O10" s="15"/>
      <c r="P10" s="15"/>
      <c r="Q10" s="15"/>
      <c r="R10" s="15"/>
      <c r="S10" s="15"/>
      <c r="T10" s="15"/>
      <c r="U10" s="15"/>
      <c r="V10" s="15"/>
      <c r="W10" s="15"/>
      <c r="X10" s="15"/>
      <c r="Y10" s="15"/>
      <c r="Z10" s="15"/>
      <c r="AA10" s="15"/>
      <c r="AB10" s="15"/>
      <c r="AC10" s="15"/>
      <c r="AD10" s="15"/>
      <c r="AE10" s="15"/>
    </row>
    <row r="11" spans="2:31" x14ac:dyDescent="0.2">
      <c r="B11" s="21" t="s">
        <v>266</v>
      </c>
      <c r="C11" s="21" t="s">
        <v>651</v>
      </c>
      <c r="D11" s="155" t="s">
        <v>652</v>
      </c>
      <c r="E11" s="10">
        <v>985</v>
      </c>
      <c r="F11" s="10">
        <v>520</v>
      </c>
      <c r="G11" s="10">
        <v>92</v>
      </c>
      <c r="H11" s="63">
        <f t="shared" si="0"/>
        <v>1.8942307692307692</v>
      </c>
      <c r="I11" s="63">
        <f t="shared" si="1"/>
        <v>10.706521739130435</v>
      </c>
      <c r="J11" s="15"/>
      <c r="K11" s="15"/>
      <c r="L11" s="15"/>
      <c r="M11" s="22"/>
      <c r="N11" s="15"/>
      <c r="O11" s="15"/>
      <c r="P11" s="15"/>
      <c r="Q11" s="15"/>
      <c r="R11" s="15"/>
      <c r="S11" s="15"/>
      <c r="T11" s="15"/>
      <c r="U11" s="15"/>
      <c r="V11" s="15"/>
      <c r="W11" s="15"/>
      <c r="X11" s="15"/>
      <c r="Y11" s="15"/>
      <c r="Z11" s="15"/>
      <c r="AA11" s="15"/>
      <c r="AB11" s="15"/>
      <c r="AC11" s="15"/>
      <c r="AD11" s="15"/>
      <c r="AE11" s="15"/>
    </row>
    <row r="12" spans="2:31" x14ac:dyDescent="0.2">
      <c r="B12" s="21" t="s">
        <v>653</v>
      </c>
      <c r="C12" s="21" t="s">
        <v>654</v>
      </c>
      <c r="D12" s="155" t="s">
        <v>655</v>
      </c>
      <c r="E12" s="10">
        <v>1760</v>
      </c>
      <c r="F12" s="10">
        <v>1105</v>
      </c>
      <c r="G12" s="10">
        <v>172</v>
      </c>
      <c r="H12" s="63">
        <f t="shared" si="0"/>
        <v>1.592760180995475</v>
      </c>
      <c r="I12" s="63">
        <f t="shared" si="1"/>
        <v>10.232558139534884</v>
      </c>
      <c r="J12" s="15"/>
      <c r="K12" s="15"/>
      <c r="L12" s="15"/>
      <c r="M12" s="22"/>
      <c r="N12" s="15"/>
      <c r="O12" s="15"/>
      <c r="P12" s="15"/>
      <c r="Q12" s="15"/>
      <c r="R12" s="15"/>
      <c r="S12" s="15"/>
      <c r="T12" s="15"/>
      <c r="U12" s="15"/>
      <c r="V12" s="15"/>
      <c r="W12" s="15"/>
      <c r="X12" s="15"/>
      <c r="Y12" s="15"/>
      <c r="Z12" s="15"/>
      <c r="AA12" s="15"/>
      <c r="AB12" s="15"/>
      <c r="AC12" s="15"/>
      <c r="AD12" s="15"/>
      <c r="AE12" s="15"/>
    </row>
    <row r="13" spans="2:31" x14ac:dyDescent="0.2">
      <c r="B13" s="21" t="s">
        <v>268</v>
      </c>
      <c r="C13" s="21" t="s">
        <v>656</v>
      </c>
      <c r="D13" s="155" t="s">
        <v>657</v>
      </c>
      <c r="E13" s="10">
        <v>745</v>
      </c>
      <c r="F13" s="10">
        <v>385</v>
      </c>
      <c r="G13" s="10">
        <v>71</v>
      </c>
      <c r="H13" s="63">
        <f t="shared" si="0"/>
        <v>1.9350649350649352</v>
      </c>
      <c r="I13" s="63">
        <f t="shared" si="1"/>
        <v>10.492957746478874</v>
      </c>
      <c r="J13" s="15"/>
      <c r="K13" s="15"/>
      <c r="L13" s="15"/>
      <c r="M13" s="22"/>
      <c r="N13" s="15"/>
      <c r="O13" s="15"/>
      <c r="P13" s="15"/>
      <c r="Q13" s="15"/>
      <c r="R13" s="15"/>
      <c r="S13" s="15"/>
      <c r="T13" s="15"/>
      <c r="U13" s="15"/>
      <c r="V13" s="15"/>
      <c r="W13" s="15"/>
      <c r="X13" s="15"/>
      <c r="Y13" s="15"/>
      <c r="Z13" s="15"/>
      <c r="AA13" s="15"/>
      <c r="AB13" s="15"/>
      <c r="AC13" s="15"/>
      <c r="AD13" s="15"/>
      <c r="AE13" s="15"/>
    </row>
    <row r="14" spans="2:31" x14ac:dyDescent="0.2">
      <c r="B14" s="21" t="s">
        <v>254</v>
      </c>
      <c r="C14" s="21" t="s">
        <v>658</v>
      </c>
      <c r="D14" s="155" t="s">
        <v>659</v>
      </c>
      <c r="E14" s="10">
        <v>3120</v>
      </c>
      <c r="F14" s="10">
        <v>2650</v>
      </c>
      <c r="G14" s="10">
        <v>312</v>
      </c>
      <c r="H14" s="63">
        <f t="shared" si="0"/>
        <v>1.1773584905660377</v>
      </c>
      <c r="I14" s="63">
        <f t="shared" si="1"/>
        <v>10</v>
      </c>
      <c r="J14" s="15"/>
      <c r="K14" s="15"/>
      <c r="L14" s="15"/>
      <c r="M14" s="22"/>
      <c r="N14" s="15"/>
      <c r="O14" s="15"/>
      <c r="P14" s="15"/>
      <c r="Q14" s="15"/>
      <c r="R14" s="15"/>
      <c r="S14" s="15"/>
      <c r="T14" s="15"/>
      <c r="U14" s="15"/>
      <c r="V14" s="15"/>
      <c r="W14" s="15"/>
      <c r="X14" s="15"/>
      <c r="Y14" s="15"/>
      <c r="Z14" s="15"/>
      <c r="AA14" s="15"/>
      <c r="AB14" s="15"/>
      <c r="AC14" s="15"/>
      <c r="AD14" s="15"/>
      <c r="AE14" s="15"/>
    </row>
    <row r="15" spans="2:31" x14ac:dyDescent="0.2">
      <c r="B15" s="21" t="s">
        <v>258</v>
      </c>
      <c r="C15" s="21" t="s">
        <v>660</v>
      </c>
      <c r="D15" s="155" t="s">
        <v>661</v>
      </c>
      <c r="E15" s="10">
        <v>1420</v>
      </c>
      <c r="F15" s="10">
        <v>890</v>
      </c>
      <c r="G15" s="10">
        <v>142</v>
      </c>
      <c r="H15" s="63">
        <f t="shared" si="0"/>
        <v>1.595505617977528</v>
      </c>
      <c r="I15" s="63">
        <f t="shared" si="1"/>
        <v>10</v>
      </c>
      <c r="J15" s="15"/>
      <c r="K15" s="15"/>
      <c r="L15" s="15"/>
      <c r="M15" s="22"/>
      <c r="N15" s="15"/>
      <c r="O15" s="15"/>
      <c r="P15" s="15"/>
      <c r="Q15" s="15"/>
      <c r="R15" s="15"/>
      <c r="S15" s="15"/>
      <c r="T15" s="15"/>
      <c r="U15" s="15"/>
      <c r="V15" s="15"/>
      <c r="W15" s="15"/>
      <c r="X15" s="15"/>
      <c r="Y15" s="15"/>
      <c r="Z15" s="15"/>
      <c r="AA15" s="15"/>
      <c r="AB15" s="15"/>
      <c r="AC15" s="15"/>
      <c r="AD15" s="15"/>
      <c r="AE15" s="15"/>
    </row>
    <row r="16" spans="2:31" x14ac:dyDescent="0.2">
      <c r="B16" s="21" t="s">
        <v>662</v>
      </c>
      <c r="C16" s="21" t="s">
        <v>663</v>
      </c>
      <c r="D16" s="155" t="s">
        <v>664</v>
      </c>
      <c r="E16" s="10">
        <v>1095</v>
      </c>
      <c r="F16" s="10">
        <v>610</v>
      </c>
      <c r="G16" s="10">
        <v>96</v>
      </c>
      <c r="H16" s="63">
        <f t="shared" si="0"/>
        <v>1.7950819672131149</v>
      </c>
      <c r="I16" s="63">
        <f t="shared" si="1"/>
        <v>11.40625</v>
      </c>
      <c r="J16" s="15"/>
      <c r="K16" s="15"/>
      <c r="L16" s="15"/>
      <c r="M16" s="22"/>
      <c r="N16" s="15"/>
      <c r="O16" s="15"/>
      <c r="P16" s="15"/>
      <c r="Q16" s="15"/>
      <c r="R16" s="15"/>
      <c r="S16" s="15"/>
      <c r="T16" s="15"/>
      <c r="U16" s="15"/>
      <c r="V16" s="15"/>
      <c r="W16" s="15"/>
      <c r="X16" s="15"/>
      <c r="Y16" s="15"/>
      <c r="Z16" s="15"/>
      <c r="AA16" s="15"/>
      <c r="AB16" s="15"/>
      <c r="AC16" s="15"/>
      <c r="AD16" s="15"/>
      <c r="AE16" s="15"/>
    </row>
    <row r="17" spans="2:31" x14ac:dyDescent="0.2">
      <c r="B17" s="15"/>
      <c r="C17" s="15"/>
      <c r="D17" s="15"/>
      <c r="E17" s="15"/>
      <c r="F17" s="15"/>
      <c r="G17" s="15"/>
      <c r="H17" s="15"/>
      <c r="I17" s="15"/>
      <c r="J17" s="15"/>
      <c r="K17" s="15"/>
      <c r="L17" s="15"/>
      <c r="M17" s="22"/>
      <c r="N17" s="15"/>
      <c r="O17" s="15"/>
      <c r="P17" s="15"/>
      <c r="Q17" s="15"/>
      <c r="R17" s="15"/>
      <c r="S17" s="15"/>
      <c r="T17" s="15"/>
      <c r="U17" s="15"/>
      <c r="V17" s="15"/>
      <c r="W17" s="15"/>
      <c r="X17" s="15"/>
      <c r="Y17" s="15"/>
      <c r="Z17" s="15"/>
      <c r="AA17" s="15"/>
      <c r="AB17" s="15"/>
      <c r="AC17" s="15"/>
      <c r="AD17" s="15"/>
      <c r="AE17" s="15"/>
    </row>
    <row r="18" spans="2:31" x14ac:dyDescent="0.2">
      <c r="B18" s="15"/>
      <c r="C18" s="15"/>
      <c r="D18" s="15"/>
      <c r="E18" s="15"/>
      <c r="F18" s="15"/>
      <c r="G18" s="15"/>
      <c r="H18" s="15"/>
      <c r="I18" s="15"/>
      <c r="J18" s="15"/>
      <c r="K18" s="15"/>
      <c r="L18" s="15"/>
      <c r="M18" s="22"/>
      <c r="N18" s="15"/>
      <c r="O18" s="15"/>
      <c r="P18" s="15"/>
      <c r="Q18" s="15"/>
      <c r="R18" s="15"/>
      <c r="S18" s="15"/>
      <c r="T18" s="15"/>
      <c r="U18" s="15"/>
      <c r="V18" s="15"/>
      <c r="W18" s="15"/>
      <c r="X18" s="15"/>
      <c r="Y18" s="15"/>
      <c r="Z18" s="15"/>
      <c r="AA18" s="15"/>
      <c r="AB18" s="15"/>
      <c r="AC18" s="15"/>
      <c r="AD18" s="15"/>
      <c r="AE18" s="15"/>
    </row>
    <row r="19" spans="2:31" x14ac:dyDescent="0.2">
      <c r="B19" s="15"/>
      <c r="C19" s="5" t="s">
        <v>25</v>
      </c>
      <c r="D19" s="15"/>
      <c r="E19" s="15"/>
      <c r="F19" s="15"/>
      <c r="G19" s="15"/>
      <c r="H19" s="63">
        <f>MAX(H9:H16)</f>
        <v>2.0078125</v>
      </c>
      <c r="I19" s="63">
        <f>MAX(I9:I16)</f>
        <v>11.40625</v>
      </c>
      <c r="J19" s="15"/>
      <c r="K19" s="15"/>
      <c r="L19" s="15"/>
      <c r="M19" s="22"/>
      <c r="N19" s="15"/>
      <c r="O19" s="15"/>
      <c r="P19" s="15"/>
      <c r="Q19" s="15"/>
      <c r="R19" s="15"/>
      <c r="S19" s="15"/>
      <c r="T19" s="15"/>
      <c r="U19" s="15"/>
      <c r="V19" s="15"/>
      <c r="W19" s="15"/>
      <c r="X19" s="15"/>
      <c r="Y19" s="15"/>
      <c r="Z19" s="15"/>
      <c r="AA19" s="15"/>
      <c r="AB19" s="15"/>
      <c r="AC19" s="15"/>
      <c r="AD19" s="15"/>
      <c r="AE19" s="15"/>
    </row>
    <row r="20" spans="2:31" x14ac:dyDescent="0.2">
      <c r="B20" s="15"/>
      <c r="C20" s="5" t="s">
        <v>26</v>
      </c>
      <c r="D20" s="15"/>
      <c r="E20" s="15"/>
      <c r="F20" s="15"/>
      <c r="G20" s="15"/>
      <c r="H20" s="63">
        <f>QUARTILE(H9:H16,3)</f>
        <v>1.9044393106893107</v>
      </c>
      <c r="I20" s="63">
        <f>QUARTILE(I9:I16,3)</f>
        <v>10.979872881355933</v>
      </c>
      <c r="J20" s="15"/>
      <c r="K20" s="15"/>
      <c r="L20" s="15"/>
      <c r="M20" s="22"/>
      <c r="N20" s="15"/>
      <c r="O20" s="15"/>
      <c r="P20" s="15"/>
      <c r="Q20" s="15"/>
      <c r="R20" s="15"/>
      <c r="S20" s="15"/>
      <c r="T20" s="15"/>
      <c r="U20" s="15"/>
      <c r="V20" s="15"/>
      <c r="W20" s="15"/>
      <c r="X20" s="15"/>
      <c r="Y20" s="15"/>
      <c r="Z20" s="15"/>
      <c r="AA20" s="15"/>
      <c r="AB20" s="15"/>
      <c r="AC20" s="15"/>
      <c r="AD20" s="15"/>
      <c r="AE20" s="15"/>
    </row>
    <row r="21" spans="2:31" x14ac:dyDescent="0.2">
      <c r="B21" s="15"/>
      <c r="C21" s="5" t="s">
        <v>27</v>
      </c>
      <c r="D21" s="15"/>
      <c r="E21" s="15"/>
      <c r="F21" s="15"/>
      <c r="G21" s="15"/>
      <c r="H21" s="110">
        <f>MEDIAN(H9:H16)</f>
        <v>1.6952937925953213</v>
      </c>
      <c r="I21" s="110">
        <f>MEDIAN(I9:I16)</f>
        <v>10.599739742804655</v>
      </c>
      <c r="J21" s="15"/>
      <c r="K21" s="15"/>
      <c r="L21" s="15"/>
      <c r="M21" s="22"/>
      <c r="N21" s="15"/>
      <c r="O21" s="15"/>
      <c r="P21" s="15"/>
      <c r="Q21" s="15"/>
      <c r="R21" s="15"/>
      <c r="S21" s="15"/>
      <c r="T21" s="15"/>
      <c r="U21" s="15"/>
      <c r="V21" s="15"/>
      <c r="W21" s="15"/>
      <c r="X21" s="15"/>
      <c r="Y21" s="15"/>
      <c r="Z21" s="15"/>
      <c r="AA21" s="15"/>
      <c r="AB21" s="15"/>
      <c r="AC21" s="15"/>
      <c r="AD21" s="15"/>
      <c r="AE21" s="15"/>
    </row>
    <row r="22" spans="2:31" x14ac:dyDescent="0.2">
      <c r="B22" s="15"/>
      <c r="C22" s="5" t="s">
        <v>28</v>
      </c>
      <c r="D22" s="15"/>
      <c r="E22" s="15"/>
      <c r="F22" s="15"/>
      <c r="G22" s="15"/>
      <c r="H22" s="63">
        <f>QUARTILE(H9:H16,1)</f>
        <v>1.5898404060168765</v>
      </c>
      <c r="I22" s="63">
        <f>QUARTILE(I9:I16,1)</f>
        <v>10.174418604651162</v>
      </c>
      <c r="J22" s="15"/>
      <c r="K22" s="15"/>
      <c r="L22" s="15"/>
      <c r="M22" s="22"/>
      <c r="N22" s="15"/>
      <c r="O22" s="15"/>
      <c r="P22" s="15"/>
      <c r="Q22" s="15"/>
      <c r="R22" s="15"/>
      <c r="S22" s="15"/>
      <c r="T22" s="15"/>
      <c r="U22" s="15"/>
      <c r="V22" s="15"/>
      <c r="W22" s="15"/>
      <c r="X22" s="15"/>
      <c r="Y22" s="15"/>
      <c r="Z22" s="15"/>
      <c r="AA22" s="15"/>
      <c r="AB22" s="15"/>
      <c r="AC22" s="15"/>
      <c r="AD22" s="15"/>
      <c r="AE22" s="15"/>
    </row>
    <row r="23" spans="2:31" x14ac:dyDescent="0.2">
      <c r="B23" s="15"/>
      <c r="C23" s="5" t="s">
        <v>29</v>
      </c>
      <c r="D23" s="15"/>
      <c r="E23" s="15"/>
      <c r="F23" s="15"/>
      <c r="G23" s="15"/>
      <c r="H23" s="63">
        <f>MIN(H9:H16)</f>
        <v>1.1773584905660377</v>
      </c>
      <c r="I23" s="63">
        <f>MIN(I9:I16)</f>
        <v>10</v>
      </c>
      <c r="J23" s="15"/>
      <c r="K23" s="15"/>
      <c r="L23" s="15"/>
      <c r="M23" s="22"/>
      <c r="N23" s="15"/>
      <c r="O23" s="15"/>
      <c r="P23" s="15"/>
      <c r="Q23" s="15"/>
      <c r="R23" s="15"/>
      <c r="S23" s="15"/>
      <c r="T23" s="15"/>
      <c r="U23" s="15"/>
      <c r="V23" s="15"/>
      <c r="W23" s="15"/>
      <c r="X23" s="15"/>
      <c r="Y23" s="15"/>
      <c r="Z23" s="15"/>
      <c r="AA23" s="15"/>
      <c r="AB23" s="15"/>
      <c r="AC23" s="15"/>
      <c r="AD23" s="15"/>
      <c r="AE23" s="15"/>
    </row>
    <row r="24" spans="2:31" x14ac:dyDescent="0.2">
      <c r="B24" s="15"/>
      <c r="C24" s="15"/>
      <c r="D24" s="15"/>
      <c r="E24" s="15"/>
      <c r="F24" s="15"/>
      <c r="G24" s="15"/>
      <c r="H24" s="15"/>
      <c r="I24" s="15"/>
      <c r="J24" s="15"/>
      <c r="K24" s="15"/>
      <c r="L24" s="15"/>
      <c r="M24" s="22"/>
      <c r="N24" s="15"/>
      <c r="O24" s="15"/>
      <c r="P24" s="15"/>
      <c r="Q24" s="15"/>
      <c r="R24" s="15"/>
      <c r="S24" s="15"/>
      <c r="T24" s="15"/>
      <c r="U24" s="15"/>
      <c r="V24" s="15"/>
      <c r="W24" s="15"/>
      <c r="X24" s="15"/>
      <c r="Y24" s="15"/>
      <c r="Z24" s="15"/>
      <c r="AA24" s="15"/>
      <c r="AB24" s="15"/>
      <c r="AC24" s="15"/>
      <c r="AD24" s="15"/>
      <c r="AE24" s="15"/>
    </row>
    <row r="25" spans="2:31" x14ac:dyDescent="0.2">
      <c r="B25" s="15"/>
      <c r="C25" s="5" t="s">
        <v>666</v>
      </c>
      <c r="D25" s="15"/>
      <c r="E25" s="15"/>
      <c r="F25" s="15"/>
      <c r="G25" s="15"/>
      <c r="H25" s="156">
        <f>Merger_Model!$E$25</f>
        <v>1.1018199476647785</v>
      </c>
      <c r="I25" s="156">
        <f>Merger_Model!$E$27</f>
        <v>9.3927606514141662</v>
      </c>
      <c r="J25" s="15"/>
      <c r="K25" s="22" t="s">
        <v>667</v>
      </c>
      <c r="L25" s="15"/>
      <c r="M25" s="22"/>
      <c r="N25" s="15"/>
      <c r="O25" s="15"/>
      <c r="P25" s="15"/>
      <c r="Q25" s="15"/>
      <c r="R25" s="15"/>
      <c r="S25" s="15"/>
      <c r="T25" s="15"/>
      <c r="U25" s="15"/>
      <c r="V25" s="15"/>
      <c r="W25" s="15"/>
      <c r="X25" s="15"/>
      <c r="Y25" s="15"/>
      <c r="Z25" s="15"/>
      <c r="AA25" s="15"/>
      <c r="AB25" s="15"/>
      <c r="AC25" s="15"/>
      <c r="AD25" s="15"/>
      <c r="AE25" s="15"/>
    </row>
    <row r="26" spans="2:31" x14ac:dyDescent="0.2">
      <c r="B26" s="15"/>
      <c r="C26" s="15"/>
      <c r="D26" s="15"/>
      <c r="E26" s="15"/>
      <c r="F26" s="15"/>
      <c r="G26" s="15"/>
      <c r="H26" s="15"/>
      <c r="I26" s="15"/>
      <c r="J26" s="15"/>
      <c r="K26" s="22"/>
      <c r="L26" s="15"/>
      <c r="M26" s="22"/>
      <c r="N26" s="15"/>
      <c r="O26" s="15"/>
      <c r="P26" s="15"/>
      <c r="Q26" s="15"/>
      <c r="R26" s="15"/>
      <c r="S26" s="15"/>
      <c r="T26" s="15"/>
      <c r="U26" s="15"/>
      <c r="V26" s="15"/>
      <c r="W26" s="15"/>
      <c r="X26" s="15"/>
      <c r="Y26" s="15"/>
      <c r="Z26" s="15"/>
      <c r="AA26" s="15"/>
      <c r="AB26" s="15"/>
      <c r="AC26" s="15"/>
      <c r="AD26" s="15"/>
      <c r="AE26" s="15"/>
    </row>
    <row r="27" spans="2:31" x14ac:dyDescent="0.2">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row>
    <row r="28" spans="2:31" x14ac:dyDescent="0.2">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spans="2:31" x14ac:dyDescent="0.2">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spans="2:31" x14ac:dyDescent="0.2">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row>
    <row r="31" spans="2:31" x14ac:dyDescent="0.2">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row>
    <row r="32" spans="2:31" x14ac:dyDescent="0.2">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row>
    <row r="33" spans="2:31" x14ac:dyDescent="0.2">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row>
    <row r="34" spans="2:31" x14ac:dyDescent="0.2">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row>
    <row r="35" spans="2:31" x14ac:dyDescent="0.2">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A2AD-011B-7B48-B47B-2B68BA8D29E2}">
  <dimension ref="B1:Y41"/>
  <sheetViews>
    <sheetView showGridLines="0" workbookViewId="0">
      <selection activeCell="B5" sqref="B5:L5"/>
    </sheetView>
  </sheetViews>
  <sheetFormatPr baseColWidth="10" defaultRowHeight="16" x14ac:dyDescent="0.2"/>
  <cols>
    <col min="1" max="2" width="2.83203125" customWidth="1"/>
    <col min="3" max="3" width="36.6640625" customWidth="1"/>
  </cols>
  <sheetData>
    <row r="1" spans="2:25" x14ac:dyDescent="0.2">
      <c r="B1" s="15"/>
      <c r="C1" s="15"/>
      <c r="D1" s="15"/>
      <c r="E1" s="15"/>
      <c r="F1" s="15"/>
      <c r="G1" s="15"/>
      <c r="H1" s="15"/>
      <c r="I1" s="15"/>
      <c r="J1" s="15"/>
      <c r="K1" s="15"/>
      <c r="L1" s="15"/>
      <c r="M1" s="15"/>
      <c r="N1" s="15"/>
      <c r="O1" s="15"/>
      <c r="P1" s="15"/>
      <c r="Q1" s="15"/>
      <c r="R1" s="15"/>
      <c r="S1" s="15"/>
      <c r="T1" s="15"/>
      <c r="U1" s="15"/>
      <c r="V1" s="15"/>
      <c r="W1" s="15"/>
      <c r="X1" s="15"/>
      <c r="Y1" s="15"/>
    </row>
    <row r="2" spans="2:25" ht="19" x14ac:dyDescent="0.2">
      <c r="B2" s="91" t="s">
        <v>688</v>
      </c>
      <c r="C2" s="15"/>
      <c r="D2" s="15"/>
      <c r="E2" s="15"/>
      <c r="F2" s="15"/>
      <c r="G2" s="15"/>
      <c r="H2" s="15"/>
      <c r="I2" s="15"/>
      <c r="J2" s="15"/>
      <c r="K2" s="15"/>
      <c r="L2" s="15"/>
      <c r="M2" s="15"/>
      <c r="N2" s="15"/>
      <c r="O2" s="15"/>
      <c r="P2" s="15"/>
      <c r="Q2" s="15"/>
      <c r="R2" s="15"/>
      <c r="S2" s="15"/>
      <c r="T2" s="15"/>
      <c r="U2" s="15"/>
      <c r="V2" s="15"/>
      <c r="W2" s="15"/>
      <c r="X2" s="15"/>
      <c r="Y2" s="15"/>
    </row>
    <row r="3" spans="2:25" x14ac:dyDescent="0.2">
      <c r="B3" s="22" t="s">
        <v>222</v>
      </c>
      <c r="C3" s="15"/>
      <c r="D3" s="15"/>
      <c r="E3" s="15"/>
      <c r="F3" s="15"/>
      <c r="G3" s="15"/>
      <c r="H3" s="15"/>
      <c r="I3" s="15"/>
      <c r="J3" s="15"/>
      <c r="K3" s="15"/>
      <c r="L3" s="15"/>
      <c r="M3" s="15"/>
      <c r="N3" s="15"/>
      <c r="O3" s="15"/>
      <c r="P3" s="15"/>
      <c r="Q3" s="15"/>
      <c r="R3" s="15"/>
      <c r="S3" s="15"/>
      <c r="T3" s="15"/>
      <c r="U3" s="15"/>
      <c r="V3" s="15"/>
      <c r="W3" s="15"/>
      <c r="X3" s="15"/>
      <c r="Y3" s="15"/>
    </row>
    <row r="4" spans="2:25" x14ac:dyDescent="0.2">
      <c r="B4" s="22" t="s">
        <v>669</v>
      </c>
      <c r="C4" s="15"/>
      <c r="D4" s="15"/>
      <c r="E4" s="15"/>
      <c r="F4" s="15"/>
      <c r="G4" s="15"/>
      <c r="H4" s="15"/>
      <c r="I4" s="15"/>
      <c r="J4" s="15"/>
      <c r="K4" s="15"/>
      <c r="L4" s="15"/>
      <c r="M4" s="15"/>
      <c r="N4" s="15"/>
      <c r="O4" s="15"/>
      <c r="P4" s="15"/>
      <c r="Q4" s="15"/>
      <c r="R4" s="15"/>
      <c r="S4" s="15"/>
      <c r="T4" s="15"/>
      <c r="U4" s="15"/>
      <c r="V4" s="15"/>
      <c r="W4" s="15"/>
      <c r="X4" s="15"/>
      <c r="Y4" s="15"/>
    </row>
    <row r="5" spans="2:25" x14ac:dyDescent="0.2">
      <c r="B5" s="64" t="s">
        <v>670</v>
      </c>
      <c r="C5" s="64"/>
      <c r="D5" s="64"/>
      <c r="E5" s="64"/>
      <c r="F5" s="64"/>
      <c r="G5" s="64"/>
      <c r="H5" s="64"/>
      <c r="I5" s="64"/>
      <c r="J5" s="64"/>
      <c r="K5" s="64"/>
      <c r="L5" s="64"/>
      <c r="M5" s="22" t="s">
        <v>671</v>
      </c>
      <c r="N5" s="15"/>
      <c r="O5" s="15"/>
      <c r="P5" s="15"/>
      <c r="Q5" s="15"/>
      <c r="R5" s="15"/>
      <c r="S5" s="15"/>
      <c r="T5" s="15"/>
      <c r="U5" s="15"/>
      <c r="V5" s="15"/>
      <c r="W5" s="15"/>
      <c r="X5" s="15"/>
      <c r="Y5" s="15"/>
    </row>
    <row r="6" spans="2:25" x14ac:dyDescent="0.2">
      <c r="B6" s="15"/>
      <c r="C6" s="15"/>
      <c r="D6" s="15"/>
      <c r="E6" s="15"/>
      <c r="F6" s="15"/>
      <c r="G6" s="15"/>
      <c r="H6" s="15"/>
      <c r="I6" s="15"/>
      <c r="J6" s="15"/>
      <c r="K6" s="15"/>
      <c r="L6" s="15"/>
      <c r="M6" s="15"/>
      <c r="N6" s="15"/>
      <c r="O6" s="15"/>
      <c r="P6" s="15"/>
      <c r="Q6" s="15"/>
      <c r="R6" s="15"/>
      <c r="S6" s="15"/>
      <c r="T6" s="15"/>
      <c r="U6" s="15"/>
      <c r="V6" s="15"/>
      <c r="W6" s="15"/>
      <c r="X6" s="15"/>
      <c r="Y6" s="15"/>
    </row>
    <row r="7" spans="2:25" ht="57" x14ac:dyDescent="0.2">
      <c r="B7" s="15"/>
      <c r="C7" s="15"/>
      <c r="D7" s="101" t="s">
        <v>15</v>
      </c>
      <c r="E7" s="101" t="s">
        <v>16</v>
      </c>
      <c r="F7" s="101" t="s">
        <v>30</v>
      </c>
      <c r="G7" s="101" t="s">
        <v>672</v>
      </c>
      <c r="H7" s="101" t="s">
        <v>673</v>
      </c>
      <c r="I7" s="101" t="s">
        <v>674</v>
      </c>
      <c r="J7" s="101" t="s">
        <v>675</v>
      </c>
      <c r="K7" s="101" t="s">
        <v>676</v>
      </c>
      <c r="L7" s="101" t="s">
        <v>677</v>
      </c>
      <c r="M7" s="101" t="s">
        <v>678</v>
      </c>
      <c r="N7" s="15"/>
      <c r="O7" s="15"/>
      <c r="P7" s="15"/>
      <c r="Q7" s="15"/>
      <c r="R7" s="15"/>
      <c r="S7" s="15"/>
      <c r="T7" s="15"/>
      <c r="U7" s="15"/>
      <c r="V7" s="15"/>
      <c r="W7" s="15"/>
      <c r="X7" s="15"/>
      <c r="Y7" s="15"/>
    </row>
    <row r="8" spans="2:25" x14ac:dyDescent="0.2">
      <c r="B8" s="15"/>
      <c r="C8" s="8" t="s">
        <v>679</v>
      </c>
      <c r="D8" s="108">
        <f>Acquirer!$E$17</f>
        <v>4095.35</v>
      </c>
      <c r="E8" s="108">
        <f>Target!$E$17</f>
        <v>2101.44</v>
      </c>
      <c r="F8" s="9">
        <f t="shared" ref="F8:F17" si="0">D8+E8</f>
        <v>6196.79</v>
      </c>
      <c r="G8" s="61">
        <f t="shared" ref="G8:G17" si="1">D8/F8</f>
        <v>0.66088248915971015</v>
      </c>
      <c r="H8" s="61">
        <f t="shared" ref="H8:H17" si="2">E8/F8</f>
        <v>0.3391175108402899</v>
      </c>
      <c r="I8" s="9">
        <f>Acquirer!$E$17/G8</f>
        <v>6196.7899999999991</v>
      </c>
      <c r="J8" s="9">
        <f t="shared" ref="J8:J17" si="3">I8*H8</f>
        <v>2101.4399999999996</v>
      </c>
      <c r="K8" s="157">
        <f>L8/Acquirer!$E$11</f>
        <v>1.0956521739130431</v>
      </c>
      <c r="L8" s="132">
        <f>J8/Target!$E$15</f>
        <v>37.79999999999999</v>
      </c>
      <c r="M8" s="61">
        <f>L8/Target!$E$11-1</f>
        <v>0</v>
      </c>
      <c r="N8" s="15"/>
      <c r="O8" s="22" t="s">
        <v>689</v>
      </c>
      <c r="P8" s="15"/>
      <c r="Q8" s="15"/>
      <c r="R8" s="15"/>
      <c r="S8" s="15"/>
      <c r="T8" s="15"/>
      <c r="U8" s="15"/>
      <c r="V8" s="15"/>
      <c r="W8" s="15"/>
      <c r="X8" s="15"/>
      <c r="Y8" s="15"/>
    </row>
    <row r="9" spans="2:25" x14ac:dyDescent="0.2">
      <c r="B9" s="15"/>
      <c r="C9" s="8" t="s">
        <v>690</v>
      </c>
      <c r="D9" s="108">
        <f>Acquirer!G90</f>
        <v>6756.0869999999995</v>
      </c>
      <c r="E9" s="108">
        <f>Target!G90</f>
        <v>2854.0245</v>
      </c>
      <c r="F9" s="9">
        <f t="shared" si="0"/>
        <v>9610.1114999999991</v>
      </c>
      <c r="G9" s="61">
        <f t="shared" si="1"/>
        <v>0.703018586204749</v>
      </c>
      <c r="H9" s="61">
        <f t="shared" si="2"/>
        <v>0.296981413795251</v>
      </c>
      <c r="I9" s="9">
        <f>Acquirer!$E$17/G9</f>
        <v>5825.3794143747709</v>
      </c>
      <c r="J9" s="9">
        <f t="shared" si="3"/>
        <v>1730.0294143747708</v>
      </c>
      <c r="K9" s="157">
        <f>L9/Acquirer!$E$11</f>
        <v>0.90200552420874591</v>
      </c>
      <c r="L9" s="132">
        <f>J9/Target!$E$15</f>
        <v>31.119190585201736</v>
      </c>
      <c r="M9" s="61">
        <f>L9/Target!$E$11-1</f>
        <v>-0.17674098980947783</v>
      </c>
      <c r="N9" s="15"/>
      <c r="O9" s="22" t="s">
        <v>680</v>
      </c>
      <c r="P9" s="15"/>
      <c r="Q9" s="15"/>
      <c r="R9" s="15"/>
      <c r="S9" s="15"/>
      <c r="T9" s="15"/>
      <c r="U9" s="15"/>
      <c r="V9" s="15"/>
      <c r="W9" s="15"/>
      <c r="X9" s="15"/>
      <c r="Y9" s="15"/>
    </row>
    <row r="10" spans="2:25" x14ac:dyDescent="0.2">
      <c r="B10" s="15"/>
      <c r="C10" s="8" t="s">
        <v>691</v>
      </c>
      <c r="D10" s="108">
        <f>Acquirer!H90</f>
        <v>7060.9884899999997</v>
      </c>
      <c r="E10" s="108">
        <f>Target!H90</f>
        <v>3000.0668437499999</v>
      </c>
      <c r="F10" s="9">
        <f t="shared" si="0"/>
        <v>10061.055333749999</v>
      </c>
      <c r="G10" s="61">
        <f t="shared" si="1"/>
        <v>0.70181390080559258</v>
      </c>
      <c r="H10" s="61">
        <f t="shared" si="2"/>
        <v>0.29818609919440753</v>
      </c>
      <c r="I10" s="9">
        <f>Acquirer!$E$17/G10</f>
        <v>5835.3788594085445</v>
      </c>
      <c r="J10" s="9">
        <f t="shared" si="3"/>
        <v>1740.0288594085448</v>
      </c>
      <c r="K10" s="157">
        <f>L10/Acquirer!$E$11</f>
        <v>0.90721905097571454</v>
      </c>
      <c r="L10" s="132">
        <f>J10/Target!$E$15</f>
        <v>31.299057258662152</v>
      </c>
      <c r="M10" s="61">
        <f>L10/Target!$E$11-1</f>
        <v>-0.1719826122047049</v>
      </c>
      <c r="N10" s="15"/>
      <c r="O10" s="22"/>
      <c r="P10" s="15"/>
      <c r="Q10" s="15"/>
      <c r="R10" s="15"/>
      <c r="S10" s="15"/>
      <c r="T10" s="15"/>
      <c r="U10" s="15"/>
      <c r="V10" s="15"/>
      <c r="W10" s="15"/>
      <c r="X10" s="15"/>
      <c r="Y10" s="15"/>
    </row>
    <row r="11" spans="2:25" x14ac:dyDescent="0.2">
      <c r="B11" s="15"/>
      <c r="C11" s="8" t="s">
        <v>692</v>
      </c>
      <c r="D11" s="108">
        <f>Acquirer!G192</f>
        <v>675.99632592999978</v>
      </c>
      <c r="E11" s="108">
        <f>Target!G192</f>
        <v>347.03477438399995</v>
      </c>
      <c r="F11" s="9">
        <f t="shared" si="0"/>
        <v>1023.0311003139998</v>
      </c>
      <c r="G11" s="61">
        <f t="shared" si="1"/>
        <v>0.66077788419385852</v>
      </c>
      <c r="H11" s="61">
        <f t="shared" si="2"/>
        <v>0.33922211580614142</v>
      </c>
      <c r="I11" s="9">
        <f>Acquirer!$E$17/G11</f>
        <v>6197.7709877446641</v>
      </c>
      <c r="J11" s="9">
        <f t="shared" si="3"/>
        <v>2102.4209877446638</v>
      </c>
      <c r="K11" s="157">
        <f>L11/Acquirer!$E$11</f>
        <v>1.0961636428843311</v>
      </c>
      <c r="L11" s="132">
        <f>J11/Target!$E$15</f>
        <v>37.817645679509425</v>
      </c>
      <c r="M11" s="61">
        <f>L11/Target!$E$11-1</f>
        <v>4.6681691823891036E-4</v>
      </c>
      <c r="N11" s="15"/>
      <c r="O11" s="22"/>
      <c r="P11" s="15"/>
      <c r="Q11" s="15"/>
      <c r="R11" s="15"/>
      <c r="S11" s="15"/>
      <c r="T11" s="15"/>
      <c r="U11" s="15"/>
      <c r="V11" s="15"/>
      <c r="W11" s="15"/>
      <c r="X11" s="15"/>
      <c r="Y11" s="15"/>
    </row>
    <row r="12" spans="2:25" x14ac:dyDescent="0.2">
      <c r="B12" s="15"/>
      <c r="C12" s="8" t="s">
        <v>693</v>
      </c>
      <c r="D12" s="108">
        <f>Acquirer!H192</f>
        <v>717.57357848339961</v>
      </c>
      <c r="E12" s="108">
        <f>Target!H192</f>
        <v>374.89005435698965</v>
      </c>
      <c r="F12" s="9">
        <f t="shared" si="0"/>
        <v>1092.4636328403892</v>
      </c>
      <c r="G12" s="61">
        <f t="shared" si="1"/>
        <v>0.6568397857031808</v>
      </c>
      <c r="H12" s="61">
        <f t="shared" si="2"/>
        <v>0.34316021429681925</v>
      </c>
      <c r="I12" s="9">
        <f>Acquirer!$E$17/G12</f>
        <v>6234.9298704793237</v>
      </c>
      <c r="J12" s="9">
        <f t="shared" si="3"/>
        <v>2139.5798704793242</v>
      </c>
      <c r="K12" s="157">
        <f>L12/Acquirer!$E$11</f>
        <v>1.1155376010503557</v>
      </c>
      <c r="L12" s="132">
        <f>J12/Target!$E$15</f>
        <v>38.486047236237269</v>
      </c>
      <c r="M12" s="61">
        <f>L12/Target!$E$11-1</f>
        <v>1.8149397784054777E-2</v>
      </c>
      <c r="N12" s="15"/>
      <c r="O12" s="22"/>
      <c r="P12" s="15"/>
      <c r="Q12" s="15"/>
      <c r="R12" s="15"/>
      <c r="S12" s="15"/>
      <c r="T12" s="15"/>
      <c r="U12" s="15"/>
      <c r="V12" s="15"/>
      <c r="W12" s="15"/>
      <c r="X12" s="15"/>
      <c r="Y12" s="15"/>
    </row>
    <row r="13" spans="2:25" x14ac:dyDescent="0.2">
      <c r="B13" s="15"/>
      <c r="C13" s="8" t="s">
        <v>694</v>
      </c>
      <c r="D13" s="108">
        <f>Acquirer!G102</f>
        <v>568.57454262999977</v>
      </c>
      <c r="E13" s="108">
        <f>Target!G102</f>
        <v>285.38784518399996</v>
      </c>
      <c r="F13" s="9">
        <f t="shared" si="0"/>
        <v>853.96238781399973</v>
      </c>
      <c r="G13" s="61">
        <f t="shared" si="1"/>
        <v>0.66580747670334184</v>
      </c>
      <c r="H13" s="61">
        <f t="shared" si="2"/>
        <v>0.33419252329665816</v>
      </c>
      <c r="I13" s="9">
        <f>Acquirer!$E$17/G13</f>
        <v>6150.9522546631451</v>
      </c>
      <c r="J13" s="9">
        <f t="shared" si="3"/>
        <v>2055.6022546631452</v>
      </c>
      <c r="K13" s="157">
        <f>L13/Acquirer!$E$11</f>
        <v>1.0717532163764982</v>
      </c>
      <c r="L13" s="132">
        <f>J13/Target!$E$15</f>
        <v>36.97548596498919</v>
      </c>
      <c r="M13" s="61">
        <f>L13/Target!$E$11-1</f>
        <v>-2.1812540608751485E-2</v>
      </c>
      <c r="N13" s="15"/>
      <c r="O13" s="22"/>
      <c r="P13" s="15"/>
      <c r="Q13" s="15"/>
      <c r="R13" s="15"/>
      <c r="S13" s="15"/>
      <c r="T13" s="15"/>
      <c r="U13" s="15"/>
      <c r="V13" s="15"/>
      <c r="W13" s="15"/>
      <c r="X13" s="15"/>
      <c r="Y13" s="15"/>
    </row>
    <row r="14" spans="2:25" x14ac:dyDescent="0.2">
      <c r="B14" s="15"/>
      <c r="C14" s="8" t="s">
        <v>695</v>
      </c>
      <c r="D14" s="108">
        <f>Acquirer!G108</f>
        <v>374.49697089102278</v>
      </c>
      <c r="E14" s="108">
        <f>Target!G108</f>
        <v>199.45927386491229</v>
      </c>
      <c r="F14" s="9">
        <f t="shared" si="0"/>
        <v>573.95624475593513</v>
      </c>
      <c r="G14" s="61">
        <f t="shared" si="1"/>
        <v>0.65248348513094601</v>
      </c>
      <c r="H14" s="61">
        <f t="shared" si="2"/>
        <v>0.34751651486905394</v>
      </c>
      <c r="I14" s="9">
        <f>Acquirer!$E$17/G14</f>
        <v>6276.5573280036506</v>
      </c>
      <c r="J14" s="9">
        <f t="shared" si="3"/>
        <v>2181.2073280036502</v>
      </c>
      <c r="K14" s="157">
        <f>L14/Acquirer!$E$11</f>
        <v>1.13724139194184</v>
      </c>
      <c r="L14" s="132">
        <f>J14/Target!$E$15</f>
        <v>39.234828021993479</v>
      </c>
      <c r="M14" s="61">
        <f>L14/Target!$E$11-1</f>
        <v>3.7958413280250847E-2</v>
      </c>
      <c r="N14" s="15"/>
      <c r="O14" s="22"/>
      <c r="P14" s="15"/>
      <c r="Q14" s="15"/>
      <c r="R14" s="15"/>
      <c r="S14" s="15"/>
      <c r="T14" s="15"/>
      <c r="U14" s="15"/>
      <c r="V14" s="15"/>
      <c r="W14" s="15"/>
      <c r="X14" s="15"/>
      <c r="Y14" s="15"/>
    </row>
    <row r="15" spans="2:25" x14ac:dyDescent="0.2">
      <c r="B15" s="15"/>
      <c r="C15" s="8" t="s">
        <v>696</v>
      </c>
      <c r="D15" s="108">
        <f>Acquirer!H108</f>
        <v>413.69285455877264</v>
      </c>
      <c r="E15" s="108">
        <f>Target!H108</f>
        <v>223.9183126184829</v>
      </c>
      <c r="F15" s="9">
        <f t="shared" si="0"/>
        <v>637.61116717725554</v>
      </c>
      <c r="G15" s="61">
        <f t="shared" si="1"/>
        <v>0.64881682733101542</v>
      </c>
      <c r="H15" s="61">
        <f t="shared" si="2"/>
        <v>0.35118317266898452</v>
      </c>
      <c r="I15" s="9">
        <f>Acquirer!$E$17/G15</f>
        <v>6312.0280293079104</v>
      </c>
      <c r="J15" s="9">
        <f t="shared" si="3"/>
        <v>2216.67802930791</v>
      </c>
      <c r="K15" s="157">
        <f>L15/Acquirer!$E$11</f>
        <v>1.1557351633529831</v>
      </c>
      <c r="L15" s="132">
        <f>J15/Target!$E$15</f>
        <v>39.872863135677918</v>
      </c>
      <c r="M15" s="61">
        <f>L15/Target!$E$11-1</f>
        <v>5.4837649092008389E-2</v>
      </c>
      <c r="N15" s="15"/>
      <c r="O15" s="22"/>
      <c r="P15" s="15"/>
      <c r="Q15" s="15"/>
      <c r="R15" s="15"/>
      <c r="S15" s="15"/>
      <c r="T15" s="15"/>
      <c r="U15" s="15"/>
      <c r="V15" s="15"/>
      <c r="W15" s="15"/>
      <c r="X15" s="15"/>
      <c r="Y15" s="15"/>
    </row>
    <row r="16" spans="2:25" x14ac:dyDescent="0.2">
      <c r="B16" s="15"/>
      <c r="C16" s="8" t="s">
        <v>681</v>
      </c>
      <c r="D16" s="108">
        <f>Acquirer!F128</f>
        <v>4404.4650199741627</v>
      </c>
      <c r="E16" s="108">
        <f>Target!F128</f>
        <v>2141.3739830139471</v>
      </c>
      <c r="F16" s="9">
        <f t="shared" si="0"/>
        <v>6545.8390029881102</v>
      </c>
      <c r="G16" s="61">
        <f t="shared" si="1"/>
        <v>0.6728648562794729</v>
      </c>
      <c r="H16" s="61">
        <f t="shared" si="2"/>
        <v>0.32713514372052704</v>
      </c>
      <c r="I16" s="9">
        <f>Acquirer!$E$17/G16</f>
        <v>6086.4376579938444</v>
      </c>
      <c r="J16" s="9">
        <f t="shared" si="3"/>
        <v>1991.0876579938442</v>
      </c>
      <c r="K16" s="157">
        <f>L16/Acquirer!$E$11</f>
        <v>1.0381164919923414</v>
      </c>
      <c r="L16" s="132">
        <f>J16/Target!$E$15</f>
        <v>35.815018973735775</v>
      </c>
      <c r="M16" s="61">
        <f>L16/Target!$E$11-1</f>
        <v>-5.2512725562545604E-2</v>
      </c>
      <c r="N16" s="15"/>
      <c r="O16" s="22"/>
      <c r="P16" s="15"/>
      <c r="Q16" s="15"/>
      <c r="R16" s="15"/>
      <c r="S16" s="15"/>
      <c r="T16" s="15"/>
      <c r="U16" s="15"/>
      <c r="V16" s="15"/>
      <c r="W16" s="15"/>
      <c r="X16" s="15"/>
      <c r="Y16" s="15"/>
    </row>
    <row r="17" spans="2:25" x14ac:dyDescent="0.2">
      <c r="B17" s="15"/>
      <c r="C17" s="8" t="s">
        <v>682</v>
      </c>
      <c r="D17" s="108">
        <f>Acquirer!F143</f>
        <v>1521.2819911225358</v>
      </c>
      <c r="E17" s="108">
        <f>Target!F143</f>
        <v>1132.5583201076684</v>
      </c>
      <c r="F17" s="9">
        <f t="shared" si="0"/>
        <v>2653.840311230204</v>
      </c>
      <c r="G17" s="61">
        <f t="shared" si="1"/>
        <v>0.57323795432790614</v>
      </c>
      <c r="H17" s="61">
        <f t="shared" si="2"/>
        <v>0.42676204567209397</v>
      </c>
      <c r="I17" s="9">
        <f>Acquirer!$E$17/G17</f>
        <v>7144.2408324159214</v>
      </c>
      <c r="J17" s="9">
        <f t="shared" si="3"/>
        <v>3048.890832415922</v>
      </c>
      <c r="K17" s="157">
        <f>L17/Acquirer!$E$11</f>
        <v>1.5896356158443989</v>
      </c>
      <c r="L17" s="132">
        <f>J17/Target!$E$15</f>
        <v>54.842428746631761</v>
      </c>
      <c r="M17" s="61">
        <f>L17/Target!$E$11-1</f>
        <v>0.45085790335004661</v>
      </c>
      <c r="N17" s="15"/>
      <c r="O17" s="22"/>
      <c r="P17" s="15"/>
      <c r="Q17" s="15"/>
      <c r="R17" s="15"/>
      <c r="S17" s="15"/>
      <c r="T17" s="15"/>
      <c r="U17" s="15"/>
      <c r="V17" s="15"/>
      <c r="W17" s="15"/>
      <c r="X17" s="15"/>
      <c r="Y17" s="15"/>
    </row>
    <row r="18" spans="2:25" x14ac:dyDescent="0.2">
      <c r="B18" s="15"/>
      <c r="C18" s="15"/>
      <c r="D18" s="15"/>
      <c r="E18" s="15"/>
      <c r="F18" s="15"/>
      <c r="G18" s="15"/>
      <c r="H18" s="15"/>
      <c r="I18" s="15"/>
      <c r="J18" s="15"/>
      <c r="K18" s="15"/>
      <c r="L18" s="15"/>
      <c r="M18" s="15"/>
      <c r="N18" s="15"/>
      <c r="O18" s="22"/>
      <c r="P18" s="15"/>
      <c r="Q18" s="15"/>
      <c r="R18" s="15"/>
      <c r="S18" s="15"/>
      <c r="T18" s="15"/>
      <c r="U18" s="15"/>
      <c r="V18" s="15"/>
      <c r="W18" s="15"/>
      <c r="X18" s="15"/>
      <c r="Y18" s="15"/>
    </row>
    <row r="19" spans="2:25" x14ac:dyDescent="0.2">
      <c r="B19" s="15"/>
      <c r="C19" s="5" t="s">
        <v>25</v>
      </c>
      <c r="D19" s="15"/>
      <c r="E19" s="15"/>
      <c r="F19" s="15"/>
      <c r="G19" s="15"/>
      <c r="H19" s="15"/>
      <c r="I19" s="15"/>
      <c r="J19" s="15"/>
      <c r="K19" s="157">
        <f>MAX(K8:K17)</f>
        <v>1.5896356158443989</v>
      </c>
      <c r="L19" s="132">
        <f>MAX(L8:L17)</f>
        <v>54.842428746631761</v>
      </c>
      <c r="M19" s="61">
        <f>MAX(M8:M17)</f>
        <v>0.45085790335004661</v>
      </c>
      <c r="N19" s="15"/>
      <c r="O19" s="22"/>
      <c r="P19" s="15"/>
      <c r="Q19" s="15"/>
      <c r="R19" s="15"/>
      <c r="S19" s="15"/>
      <c r="T19" s="15"/>
      <c r="U19" s="15"/>
      <c r="V19" s="15"/>
      <c r="W19" s="15"/>
      <c r="X19" s="15"/>
      <c r="Y19" s="15"/>
    </row>
    <row r="20" spans="2:25" x14ac:dyDescent="0.2">
      <c r="B20" s="15"/>
      <c r="C20" s="5" t="s">
        <v>27</v>
      </c>
      <c r="D20" s="15"/>
      <c r="E20" s="15"/>
      <c r="F20" s="15"/>
      <c r="G20" s="15"/>
      <c r="H20" s="15"/>
      <c r="I20" s="15"/>
      <c r="J20" s="15"/>
      <c r="K20" s="158">
        <f>MEDIAN(K8:K17)</f>
        <v>1.0959079083986871</v>
      </c>
      <c r="L20" s="123">
        <f>MEDIAN(L8:L17)</f>
        <v>37.808822839754711</v>
      </c>
      <c r="M20" s="109">
        <f>MEDIAN(M8:M17)</f>
        <v>2.3340845911945518E-4</v>
      </c>
      <c r="N20" s="15"/>
      <c r="O20" s="22"/>
      <c r="P20" s="15"/>
      <c r="Q20" s="15"/>
      <c r="R20" s="15"/>
      <c r="S20" s="15"/>
      <c r="T20" s="15"/>
      <c r="U20" s="15"/>
      <c r="V20" s="15"/>
      <c r="W20" s="15"/>
      <c r="X20" s="15"/>
      <c r="Y20" s="15"/>
    </row>
    <row r="21" spans="2:25" x14ac:dyDescent="0.2">
      <c r="B21" s="15"/>
      <c r="C21" s="5" t="s">
        <v>29</v>
      </c>
      <c r="D21" s="15"/>
      <c r="E21" s="15"/>
      <c r="F21" s="15"/>
      <c r="G21" s="15"/>
      <c r="H21" s="15"/>
      <c r="I21" s="15"/>
      <c r="J21" s="15"/>
      <c r="K21" s="157">
        <f>MIN(K8:K17)</f>
        <v>0.90200552420874591</v>
      </c>
      <c r="L21" s="132">
        <f>MIN(L8:L17)</f>
        <v>31.119190585201736</v>
      </c>
      <c r="M21" s="61">
        <f>MIN(M8:M17)</f>
        <v>-0.17674098980947783</v>
      </c>
      <c r="N21" s="15"/>
      <c r="O21" s="22"/>
      <c r="P21" s="15"/>
      <c r="Q21" s="15"/>
      <c r="R21" s="15"/>
      <c r="S21" s="15"/>
      <c r="T21" s="15"/>
      <c r="U21" s="15"/>
      <c r="V21" s="15"/>
      <c r="W21" s="15"/>
      <c r="X21" s="15"/>
      <c r="Y21" s="15"/>
    </row>
    <row r="22" spans="2:25" x14ac:dyDescent="0.2">
      <c r="B22" s="15"/>
      <c r="C22" s="15"/>
      <c r="D22" s="15"/>
      <c r="E22" s="15"/>
      <c r="F22" s="15"/>
      <c r="G22" s="15"/>
      <c r="H22" s="15"/>
      <c r="I22" s="15"/>
      <c r="J22" s="15"/>
      <c r="K22" s="15"/>
      <c r="L22" s="15"/>
      <c r="M22" s="15"/>
      <c r="N22" s="15"/>
      <c r="O22" s="22"/>
      <c r="P22" s="15"/>
      <c r="Q22" s="15"/>
      <c r="R22" s="15"/>
      <c r="S22" s="15"/>
      <c r="T22" s="15"/>
      <c r="U22" s="15"/>
      <c r="V22" s="15"/>
      <c r="W22" s="15"/>
      <c r="X22" s="15"/>
      <c r="Y22" s="15"/>
    </row>
    <row r="23" spans="2:25" x14ac:dyDescent="0.2">
      <c r="B23" s="15"/>
      <c r="C23" s="136" t="s">
        <v>683</v>
      </c>
      <c r="D23" s="15"/>
      <c r="E23" s="15"/>
      <c r="F23" s="15"/>
      <c r="G23" s="15"/>
      <c r="H23" s="15"/>
      <c r="I23" s="15"/>
      <c r="J23" s="15"/>
      <c r="K23" s="15"/>
      <c r="L23" s="15"/>
      <c r="M23" s="15"/>
      <c r="N23" s="15"/>
      <c r="O23" s="22"/>
      <c r="P23" s="15"/>
      <c r="Q23" s="15"/>
      <c r="R23" s="15"/>
      <c r="S23" s="15"/>
      <c r="T23" s="15"/>
      <c r="U23" s="15"/>
      <c r="V23" s="15"/>
      <c r="W23" s="15"/>
      <c r="X23" s="15"/>
      <c r="Y23" s="15"/>
    </row>
    <row r="24" spans="2:25" x14ac:dyDescent="0.2">
      <c r="B24" s="15"/>
      <c r="C24" s="8" t="s">
        <v>684</v>
      </c>
      <c r="D24" s="15"/>
      <c r="E24" s="158">
        <f>Merger_Model!$E$14</f>
        <v>1.4</v>
      </c>
      <c r="F24" s="15"/>
      <c r="G24" s="15"/>
      <c r="H24" s="15"/>
      <c r="I24" s="15"/>
      <c r="J24" s="15"/>
      <c r="K24" s="15"/>
      <c r="L24" s="15"/>
      <c r="M24" s="15"/>
      <c r="N24" s="15"/>
      <c r="O24" s="22"/>
      <c r="P24" s="15"/>
      <c r="Q24" s="15"/>
      <c r="R24" s="15"/>
      <c r="S24" s="15"/>
      <c r="T24" s="15"/>
      <c r="U24" s="15"/>
      <c r="V24" s="15"/>
      <c r="W24" s="15"/>
      <c r="X24" s="15"/>
      <c r="Y24" s="15"/>
    </row>
    <row r="25" spans="2:25" x14ac:dyDescent="0.2">
      <c r="B25" s="15"/>
      <c r="C25" s="8" t="s">
        <v>685</v>
      </c>
      <c r="D25" s="15"/>
      <c r="E25" s="123">
        <f>Merger_Model!$E$15</f>
        <v>48.3</v>
      </c>
      <c r="F25" s="15"/>
      <c r="G25" s="15"/>
      <c r="H25" s="15"/>
      <c r="I25" s="15"/>
      <c r="J25" s="15"/>
      <c r="K25" s="15"/>
      <c r="L25" s="15"/>
      <c r="M25" s="15"/>
      <c r="N25" s="15"/>
      <c r="O25" s="22"/>
      <c r="P25" s="15"/>
      <c r="Q25" s="15"/>
      <c r="R25" s="15"/>
      <c r="S25" s="15"/>
      <c r="T25" s="15"/>
      <c r="U25" s="15"/>
      <c r="V25" s="15"/>
      <c r="W25" s="15"/>
      <c r="X25" s="15"/>
      <c r="Y25" s="15"/>
    </row>
    <row r="26" spans="2:25" x14ac:dyDescent="0.2">
      <c r="B26" s="15"/>
      <c r="C26" s="8" t="s">
        <v>686</v>
      </c>
      <c r="D26" s="15"/>
      <c r="E26" s="109">
        <f>Merger_Model!$E$17</f>
        <v>0.2777777777777779</v>
      </c>
      <c r="F26" s="15"/>
      <c r="G26" s="15"/>
      <c r="H26" s="15"/>
      <c r="I26" s="15"/>
      <c r="J26" s="15"/>
      <c r="K26" s="15"/>
      <c r="L26" s="15"/>
      <c r="M26" s="15"/>
      <c r="N26" s="15"/>
      <c r="O26" s="22"/>
      <c r="P26" s="15"/>
      <c r="Q26" s="15"/>
      <c r="R26" s="15"/>
      <c r="S26" s="15"/>
      <c r="T26" s="15"/>
      <c r="U26" s="15"/>
      <c r="V26" s="15"/>
      <c r="W26" s="15"/>
      <c r="X26" s="15"/>
      <c r="Y26" s="15"/>
    </row>
    <row r="27" spans="2:25" x14ac:dyDescent="0.2">
      <c r="B27" s="15"/>
      <c r="C27" s="5" t="s">
        <v>697</v>
      </c>
      <c r="D27" s="15"/>
      <c r="E27" s="159">
        <f>Acquirer!$E$15/Merger_Model!G130</f>
        <v>0.60286110060222076</v>
      </c>
      <c r="F27" s="15"/>
      <c r="G27" s="15"/>
      <c r="H27" s="15"/>
      <c r="I27" s="15"/>
      <c r="J27" s="15"/>
      <c r="K27" s="15"/>
      <c r="L27" s="15"/>
      <c r="M27" s="15"/>
      <c r="N27" s="15"/>
      <c r="O27" s="22" t="s">
        <v>687</v>
      </c>
      <c r="P27" s="15"/>
      <c r="Q27" s="15"/>
      <c r="R27" s="15"/>
      <c r="S27" s="15"/>
      <c r="T27" s="15"/>
      <c r="U27" s="15"/>
      <c r="V27" s="15"/>
      <c r="W27" s="15"/>
      <c r="X27" s="15"/>
      <c r="Y27" s="15"/>
    </row>
    <row r="28" spans="2:25" x14ac:dyDescent="0.2">
      <c r="B28" s="15"/>
      <c r="C28" s="5" t="s">
        <v>698</v>
      </c>
      <c r="D28" s="15"/>
      <c r="E28" s="159">
        <f>Merger_Model!$E$53/Merger_Model!G130</f>
        <v>0.39713889939777924</v>
      </c>
      <c r="F28" s="15"/>
      <c r="G28" s="15"/>
      <c r="H28" s="15"/>
      <c r="I28" s="15"/>
      <c r="J28" s="15"/>
      <c r="K28" s="15"/>
      <c r="L28" s="15"/>
      <c r="M28" s="15"/>
      <c r="N28" s="15"/>
      <c r="O28" s="22"/>
      <c r="P28" s="15"/>
      <c r="Q28" s="15"/>
      <c r="R28" s="15"/>
      <c r="S28" s="15"/>
      <c r="T28" s="15"/>
      <c r="U28" s="15"/>
      <c r="V28" s="15"/>
      <c r="W28" s="15"/>
      <c r="X28" s="15"/>
      <c r="Y28" s="15"/>
    </row>
    <row r="29" spans="2:25" x14ac:dyDescent="0.2">
      <c r="B29" s="15"/>
      <c r="C29" s="15"/>
      <c r="D29" s="15"/>
      <c r="E29" s="15"/>
      <c r="F29" s="15"/>
      <c r="G29" s="15"/>
      <c r="H29" s="15"/>
      <c r="I29" s="15"/>
      <c r="J29" s="15"/>
      <c r="K29" s="15"/>
      <c r="L29" s="15"/>
      <c r="M29" s="15"/>
      <c r="N29" s="15"/>
      <c r="O29" s="22"/>
      <c r="P29" s="15"/>
      <c r="Q29" s="15"/>
      <c r="R29" s="15"/>
      <c r="S29" s="15"/>
      <c r="T29" s="15"/>
      <c r="U29" s="15"/>
      <c r="V29" s="15"/>
      <c r="W29" s="15"/>
      <c r="X29" s="15"/>
      <c r="Y29" s="15"/>
    </row>
    <row r="30" spans="2:25" x14ac:dyDescent="0.2">
      <c r="B30" s="15"/>
      <c r="C30" s="15"/>
      <c r="D30" s="15"/>
      <c r="E30" s="15"/>
      <c r="F30" s="15"/>
      <c r="G30" s="15"/>
      <c r="H30" s="15"/>
      <c r="I30" s="15"/>
      <c r="J30" s="15"/>
      <c r="K30" s="15"/>
      <c r="L30" s="15"/>
      <c r="M30" s="15"/>
      <c r="N30" s="15"/>
      <c r="O30" s="22"/>
      <c r="P30" s="15"/>
      <c r="Q30" s="15"/>
      <c r="R30" s="15"/>
      <c r="S30" s="15"/>
      <c r="T30" s="15"/>
      <c r="U30" s="15"/>
      <c r="V30" s="15"/>
      <c r="W30" s="15"/>
      <c r="X30" s="15"/>
      <c r="Y30" s="15"/>
    </row>
    <row r="31" spans="2:25" x14ac:dyDescent="0.2">
      <c r="B31" s="15"/>
      <c r="C31" s="15"/>
      <c r="D31" s="15"/>
      <c r="E31" s="15"/>
      <c r="F31" s="15"/>
      <c r="G31" s="15"/>
      <c r="H31" s="15"/>
      <c r="I31" s="15"/>
      <c r="J31" s="15"/>
      <c r="K31" s="15"/>
      <c r="L31" s="15"/>
      <c r="M31" s="15"/>
      <c r="N31" s="15"/>
      <c r="O31" s="22"/>
      <c r="P31" s="15"/>
      <c r="Q31" s="15"/>
      <c r="R31" s="15"/>
      <c r="S31" s="15"/>
      <c r="T31" s="15"/>
      <c r="U31" s="15"/>
      <c r="V31" s="15"/>
      <c r="W31" s="15"/>
      <c r="X31" s="15"/>
      <c r="Y31" s="15"/>
    </row>
    <row r="32" spans="2:25" x14ac:dyDescent="0.2">
      <c r="B32" s="15"/>
      <c r="C32" s="15"/>
      <c r="D32" s="15"/>
      <c r="E32" s="15"/>
      <c r="F32" s="15"/>
      <c r="G32" s="15"/>
      <c r="H32" s="15"/>
      <c r="I32" s="15"/>
      <c r="J32" s="15"/>
      <c r="K32" s="15"/>
      <c r="L32" s="15"/>
      <c r="M32" s="15"/>
      <c r="N32" s="15"/>
      <c r="O32" s="22"/>
      <c r="P32" s="15"/>
      <c r="Q32" s="15"/>
      <c r="R32" s="15"/>
      <c r="S32" s="15"/>
      <c r="T32" s="15"/>
      <c r="U32" s="15"/>
      <c r="V32" s="15"/>
      <c r="W32" s="15"/>
      <c r="X32" s="15"/>
      <c r="Y32" s="15"/>
    </row>
    <row r="33" spans="2:25" x14ac:dyDescent="0.2">
      <c r="B33" s="15"/>
      <c r="C33" s="15"/>
      <c r="D33" s="15"/>
      <c r="E33" s="15"/>
      <c r="F33" s="15"/>
      <c r="G33" s="15"/>
      <c r="H33" s="15"/>
      <c r="I33" s="15"/>
      <c r="J33" s="15"/>
      <c r="K33" s="15"/>
      <c r="L33" s="15"/>
      <c r="M33" s="15"/>
      <c r="N33" s="15"/>
      <c r="O33" s="22"/>
      <c r="P33" s="15"/>
      <c r="Q33" s="15"/>
      <c r="R33" s="15"/>
      <c r="S33" s="15"/>
      <c r="T33" s="15"/>
      <c r="U33" s="15"/>
      <c r="V33" s="15"/>
      <c r="W33" s="15"/>
      <c r="X33" s="15"/>
      <c r="Y33" s="15"/>
    </row>
    <row r="34" spans="2:25" x14ac:dyDescent="0.2">
      <c r="B34" s="15"/>
      <c r="C34" s="15"/>
      <c r="D34" s="15"/>
      <c r="E34" s="15"/>
      <c r="F34" s="15"/>
      <c r="G34" s="15"/>
      <c r="H34" s="15"/>
      <c r="I34" s="15"/>
      <c r="J34" s="15"/>
      <c r="K34" s="15"/>
      <c r="L34" s="15"/>
      <c r="M34" s="15"/>
      <c r="N34" s="15"/>
      <c r="O34" s="22"/>
      <c r="P34" s="15"/>
      <c r="Q34" s="15"/>
      <c r="R34" s="15"/>
      <c r="S34" s="15"/>
      <c r="T34" s="15"/>
      <c r="U34" s="15"/>
      <c r="V34" s="15"/>
      <c r="W34" s="15"/>
      <c r="X34" s="15"/>
      <c r="Y34" s="15"/>
    </row>
    <row r="35" spans="2:25" x14ac:dyDescent="0.2">
      <c r="B35" s="15"/>
      <c r="C35" s="15"/>
      <c r="D35" s="15"/>
      <c r="E35" s="15"/>
      <c r="F35" s="15"/>
      <c r="G35" s="15"/>
      <c r="H35" s="15"/>
      <c r="I35" s="15"/>
      <c r="J35" s="15"/>
      <c r="K35" s="15"/>
      <c r="L35" s="15"/>
      <c r="M35" s="15"/>
      <c r="N35" s="15"/>
      <c r="O35" s="15"/>
      <c r="P35" s="15"/>
      <c r="Q35" s="15"/>
      <c r="R35" s="15"/>
      <c r="S35" s="15"/>
      <c r="T35" s="15"/>
      <c r="U35" s="15"/>
      <c r="V35" s="15"/>
      <c r="W35" s="15"/>
      <c r="X35" s="15"/>
      <c r="Y35" s="15"/>
    </row>
    <row r="36" spans="2:25" x14ac:dyDescent="0.2">
      <c r="B36" s="15"/>
      <c r="C36" s="15"/>
      <c r="D36" s="15"/>
      <c r="E36" s="15"/>
      <c r="F36" s="15"/>
      <c r="G36" s="15"/>
      <c r="H36" s="15"/>
      <c r="I36" s="15"/>
      <c r="J36" s="15"/>
      <c r="K36" s="15"/>
      <c r="L36" s="15"/>
      <c r="M36" s="15"/>
      <c r="N36" s="15"/>
      <c r="O36" s="15"/>
      <c r="P36" s="15"/>
      <c r="Q36" s="15"/>
      <c r="R36" s="15"/>
      <c r="S36" s="15"/>
      <c r="T36" s="15"/>
      <c r="U36" s="15"/>
      <c r="V36" s="15"/>
      <c r="W36" s="15"/>
      <c r="X36" s="15"/>
      <c r="Y36" s="15"/>
    </row>
    <row r="37" spans="2:25" x14ac:dyDescent="0.2">
      <c r="B37" s="15"/>
      <c r="C37" s="15"/>
      <c r="D37" s="15"/>
      <c r="E37" s="15"/>
      <c r="F37" s="15"/>
      <c r="G37" s="15"/>
      <c r="H37" s="15"/>
      <c r="I37" s="15"/>
      <c r="J37" s="15"/>
      <c r="K37" s="15"/>
      <c r="L37" s="15"/>
      <c r="M37" s="15"/>
      <c r="N37" s="15"/>
      <c r="O37" s="15"/>
      <c r="P37" s="15"/>
      <c r="Q37" s="15"/>
      <c r="R37" s="15"/>
      <c r="S37" s="15"/>
      <c r="T37" s="15"/>
      <c r="U37" s="15"/>
      <c r="V37" s="15"/>
      <c r="W37" s="15"/>
      <c r="X37" s="15"/>
      <c r="Y37" s="15"/>
    </row>
    <row r="38" spans="2:25" x14ac:dyDescent="0.2">
      <c r="B38" s="15"/>
      <c r="C38" s="15"/>
      <c r="D38" s="15"/>
      <c r="E38" s="15"/>
      <c r="F38" s="15"/>
      <c r="G38" s="15"/>
      <c r="H38" s="15"/>
      <c r="I38" s="15"/>
      <c r="J38" s="15"/>
      <c r="K38" s="15"/>
      <c r="L38" s="15"/>
      <c r="M38" s="15"/>
      <c r="N38" s="15"/>
      <c r="O38" s="15"/>
      <c r="P38" s="15"/>
      <c r="Q38" s="15"/>
      <c r="R38" s="15"/>
      <c r="S38" s="15"/>
      <c r="T38" s="15"/>
      <c r="U38" s="15"/>
      <c r="V38" s="15"/>
      <c r="W38" s="15"/>
      <c r="X38" s="15"/>
      <c r="Y38" s="15"/>
    </row>
    <row r="39" spans="2:25" x14ac:dyDescent="0.2">
      <c r="B39" s="15"/>
      <c r="C39" s="15"/>
      <c r="D39" s="15"/>
      <c r="E39" s="15"/>
      <c r="F39" s="15"/>
      <c r="G39" s="15"/>
      <c r="H39" s="15"/>
      <c r="I39" s="15"/>
      <c r="J39" s="15"/>
      <c r="K39" s="15"/>
      <c r="L39" s="15"/>
      <c r="M39" s="15"/>
      <c r="N39" s="15"/>
      <c r="O39" s="15"/>
      <c r="P39" s="15"/>
      <c r="Q39" s="15"/>
      <c r="R39" s="15"/>
      <c r="S39" s="15"/>
      <c r="T39" s="15"/>
      <c r="U39" s="15"/>
      <c r="V39" s="15"/>
      <c r="W39" s="15"/>
      <c r="X39" s="15"/>
      <c r="Y39" s="15"/>
    </row>
    <row r="40" spans="2:25" x14ac:dyDescent="0.2">
      <c r="B40" s="15"/>
      <c r="C40" s="15"/>
      <c r="D40" s="15"/>
      <c r="E40" s="15"/>
      <c r="F40" s="15"/>
      <c r="G40" s="15"/>
      <c r="H40" s="15"/>
      <c r="I40" s="15"/>
      <c r="J40" s="15"/>
      <c r="K40" s="15"/>
      <c r="L40" s="15"/>
      <c r="M40" s="15"/>
      <c r="N40" s="15"/>
      <c r="O40" s="15"/>
      <c r="P40" s="15"/>
      <c r="Q40" s="15"/>
      <c r="R40" s="15"/>
      <c r="S40" s="15"/>
      <c r="T40" s="15"/>
      <c r="U40" s="15"/>
      <c r="V40" s="15"/>
      <c r="W40" s="15"/>
      <c r="X40" s="15"/>
      <c r="Y40" s="15"/>
    </row>
    <row r="41" spans="2:25" x14ac:dyDescent="0.2">
      <c r="B41" s="15"/>
      <c r="C41" s="15"/>
      <c r="D41" s="15"/>
      <c r="E41" s="15"/>
      <c r="F41" s="15"/>
      <c r="G41" s="15"/>
      <c r="H41" s="15"/>
      <c r="I41" s="15"/>
      <c r="J41" s="15"/>
      <c r="K41" s="15"/>
      <c r="L41" s="15"/>
      <c r="M41" s="15"/>
      <c r="N41" s="15"/>
      <c r="O41" s="15"/>
      <c r="P41" s="15"/>
      <c r="Q41" s="15"/>
      <c r="R41" s="15"/>
      <c r="S41" s="15"/>
      <c r="T41" s="15"/>
      <c r="U41" s="15"/>
      <c r="V41" s="15"/>
      <c r="W41" s="15"/>
      <c r="X41" s="15"/>
      <c r="Y41" s="1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0AE12-757E-5A4E-97A0-ABAA80F988E1}">
  <dimension ref="B2:W63"/>
  <sheetViews>
    <sheetView showGridLines="0" workbookViewId="0">
      <selection activeCell="F56" sqref="F56"/>
    </sheetView>
  </sheetViews>
  <sheetFormatPr baseColWidth="10" defaultRowHeight="16" x14ac:dyDescent="0.2"/>
  <cols>
    <col min="1" max="2" width="2.83203125" customWidth="1"/>
    <col min="3" max="3" width="49.1640625" customWidth="1"/>
    <col min="6" max="6" width="13.1640625" bestFit="1" customWidth="1"/>
    <col min="7" max="7" width="11.5" bestFit="1" customWidth="1"/>
    <col min="8" max="8" width="14.83203125" bestFit="1" customWidth="1"/>
    <col min="9" max="9" width="13.1640625" bestFit="1" customWidth="1"/>
    <col min="10" max="10" width="18.1640625" bestFit="1" customWidth="1"/>
  </cols>
  <sheetData>
    <row r="2" spans="2:23" ht="19" x14ac:dyDescent="0.2">
      <c r="B2" s="91" t="s">
        <v>699</v>
      </c>
      <c r="C2" s="15"/>
      <c r="D2" s="15"/>
      <c r="E2" s="15"/>
      <c r="F2" s="15"/>
      <c r="G2" s="15"/>
      <c r="H2" s="15"/>
      <c r="I2" s="15"/>
      <c r="J2" s="15"/>
      <c r="K2" s="15"/>
      <c r="L2" s="15"/>
      <c r="M2" s="15"/>
      <c r="N2" s="15"/>
      <c r="O2" s="15"/>
      <c r="P2" s="15"/>
      <c r="Q2" s="15"/>
      <c r="R2" s="15"/>
      <c r="S2" s="15"/>
      <c r="T2" s="15"/>
      <c r="U2" s="15"/>
      <c r="V2" s="15"/>
      <c r="W2" s="15"/>
    </row>
    <row r="3" spans="2:23" x14ac:dyDescent="0.2">
      <c r="B3" s="22" t="s">
        <v>222</v>
      </c>
      <c r="C3" s="15"/>
      <c r="D3" s="15"/>
      <c r="E3" s="15"/>
      <c r="F3" s="15"/>
      <c r="G3" s="15"/>
      <c r="H3" s="15"/>
      <c r="I3" s="15"/>
      <c r="J3" s="15"/>
      <c r="K3" s="15"/>
      <c r="L3" s="15"/>
      <c r="M3" s="15"/>
      <c r="N3" s="15"/>
      <c r="O3" s="15"/>
      <c r="P3" s="15"/>
      <c r="Q3" s="15"/>
      <c r="R3" s="15"/>
      <c r="S3" s="15"/>
      <c r="T3" s="15"/>
      <c r="U3" s="15"/>
      <c r="V3" s="15"/>
      <c r="W3" s="15"/>
    </row>
    <row r="4" spans="2:23" x14ac:dyDescent="0.2">
      <c r="B4" s="22" t="s">
        <v>700</v>
      </c>
      <c r="C4" s="15"/>
      <c r="D4" s="15"/>
      <c r="E4" s="15"/>
      <c r="F4" s="15"/>
      <c r="G4" s="15"/>
      <c r="H4" s="15"/>
      <c r="I4" s="15"/>
      <c r="J4" s="15"/>
      <c r="K4" s="15"/>
      <c r="L4" s="15"/>
      <c r="M4" s="15"/>
      <c r="N4" s="15"/>
      <c r="O4" s="15"/>
      <c r="P4" s="15"/>
      <c r="Q4" s="15"/>
      <c r="R4" s="15"/>
      <c r="S4" s="15"/>
      <c r="T4" s="15"/>
      <c r="U4" s="15"/>
      <c r="V4" s="15"/>
      <c r="W4" s="15"/>
    </row>
    <row r="5" spans="2:23" x14ac:dyDescent="0.2">
      <c r="B5" s="64" t="s">
        <v>701</v>
      </c>
      <c r="C5" s="64"/>
      <c r="D5" s="64"/>
      <c r="E5" s="64"/>
      <c r="F5" s="64"/>
      <c r="G5" s="64"/>
      <c r="H5" s="64"/>
      <c r="I5" s="64"/>
      <c r="J5" s="64"/>
      <c r="K5" s="64"/>
      <c r="L5" s="64"/>
      <c r="M5" s="15"/>
      <c r="N5" s="15"/>
      <c r="O5" s="15"/>
      <c r="P5" s="15"/>
      <c r="Q5" s="15"/>
      <c r="R5" s="15"/>
      <c r="S5" s="15"/>
      <c r="T5" s="15"/>
      <c r="U5" s="15"/>
      <c r="V5" s="15"/>
      <c r="W5" s="15"/>
    </row>
    <row r="6" spans="2:23" x14ac:dyDescent="0.2">
      <c r="B6" s="15"/>
      <c r="C6" s="15"/>
      <c r="D6" s="15"/>
      <c r="E6" s="15"/>
      <c r="F6" s="15"/>
      <c r="G6" s="15"/>
      <c r="H6" s="15"/>
      <c r="I6" s="15"/>
      <c r="J6" s="15"/>
      <c r="K6" s="15"/>
      <c r="L6" s="15"/>
      <c r="M6" s="15"/>
      <c r="N6" s="15"/>
      <c r="O6" s="15"/>
      <c r="P6" s="15"/>
      <c r="Q6" s="15"/>
      <c r="R6" s="15"/>
      <c r="S6" s="15"/>
      <c r="T6" s="15"/>
      <c r="U6" s="15"/>
      <c r="V6" s="15"/>
      <c r="W6" s="15"/>
    </row>
    <row r="7" spans="2:23" x14ac:dyDescent="0.2">
      <c r="B7" s="15"/>
      <c r="C7" s="57" t="s">
        <v>239</v>
      </c>
      <c r="D7" s="57" t="s">
        <v>18</v>
      </c>
      <c r="E7" s="57" t="s">
        <v>240</v>
      </c>
      <c r="F7" s="57" t="s">
        <v>37</v>
      </c>
      <c r="G7" s="57" t="s">
        <v>241</v>
      </c>
      <c r="H7" s="57" t="s">
        <v>242</v>
      </c>
      <c r="I7" s="102" t="s">
        <v>246</v>
      </c>
      <c r="J7" s="102" t="s">
        <v>249</v>
      </c>
      <c r="K7" s="15"/>
      <c r="L7" s="15"/>
      <c r="M7" s="15"/>
      <c r="N7" s="15"/>
      <c r="O7" s="15"/>
      <c r="P7" s="15"/>
      <c r="Q7" s="15"/>
      <c r="R7" s="15"/>
      <c r="S7" s="15"/>
      <c r="T7" s="15"/>
      <c r="U7" s="15"/>
      <c r="V7" s="15"/>
      <c r="W7" s="15"/>
    </row>
    <row r="8" spans="2:23" x14ac:dyDescent="0.2">
      <c r="B8" s="15"/>
      <c r="C8" s="134" t="s">
        <v>702</v>
      </c>
      <c r="D8" s="15"/>
      <c r="E8" s="15"/>
      <c r="F8" s="15"/>
      <c r="G8" s="15"/>
      <c r="H8" s="15"/>
      <c r="I8" s="15"/>
      <c r="J8" s="15"/>
      <c r="K8" s="15"/>
      <c r="L8" s="15"/>
      <c r="M8" s="15"/>
      <c r="N8" s="15"/>
      <c r="O8" s="15"/>
      <c r="P8" s="15"/>
      <c r="Q8" s="15"/>
      <c r="R8" s="15"/>
      <c r="S8" s="15"/>
      <c r="T8" s="15"/>
      <c r="U8" s="15"/>
      <c r="V8" s="15"/>
      <c r="W8" s="15"/>
    </row>
    <row r="9" spans="2:23" x14ac:dyDescent="0.2">
      <c r="B9" s="15"/>
      <c r="C9" s="8" t="s">
        <v>45</v>
      </c>
      <c r="D9" s="103" t="s">
        <v>46</v>
      </c>
      <c r="E9" s="106">
        <f>Acquirer!$E$11</f>
        <v>34.5</v>
      </c>
      <c r="F9" s="107">
        <f>Acquirer!$E$15</f>
        <v>118.70579710144928</v>
      </c>
      <c r="G9" s="9">
        <f>E9*F9</f>
        <v>4095.35</v>
      </c>
      <c r="H9" s="9">
        <f>G9-Acquirer!G116+Acquirer!G135</f>
        <v>4961.5359135598137</v>
      </c>
      <c r="I9" s="108">
        <f>Acquirer!G192</f>
        <v>675.99632592999978</v>
      </c>
      <c r="J9" s="63">
        <f>H9/I9</f>
        <v>7.3395900587684357</v>
      </c>
      <c r="K9" s="15"/>
      <c r="L9" s="15"/>
      <c r="M9" s="15"/>
      <c r="N9" s="15"/>
      <c r="O9" s="15"/>
      <c r="P9" s="15"/>
      <c r="Q9" s="15"/>
      <c r="R9" s="15"/>
      <c r="S9" s="15"/>
      <c r="T9" s="15"/>
      <c r="U9" s="15"/>
      <c r="V9" s="15"/>
      <c r="W9" s="15"/>
    </row>
    <row r="10" spans="2:23" x14ac:dyDescent="0.2">
      <c r="B10" s="15"/>
      <c r="C10" s="8" t="s">
        <v>219</v>
      </c>
      <c r="D10" s="103" t="s">
        <v>220</v>
      </c>
      <c r="E10" s="106">
        <f>Target!$E$11</f>
        <v>37.799999999999997</v>
      </c>
      <c r="F10" s="107">
        <f>Target!$E$15</f>
        <v>55.593650793650795</v>
      </c>
      <c r="G10" s="9">
        <f>E10*F10</f>
        <v>2101.44</v>
      </c>
      <c r="H10" s="9">
        <f>G10-Target!G116+Target!G135</f>
        <v>2226.667211034081</v>
      </c>
      <c r="I10" s="108">
        <f>Target!G192</f>
        <v>347.03477438399995</v>
      </c>
      <c r="J10" s="63">
        <f>H10/I10</f>
        <v>6.4162653871978703</v>
      </c>
      <c r="K10" s="15"/>
      <c r="L10" s="15"/>
      <c r="M10" s="15"/>
      <c r="N10" s="15"/>
      <c r="O10" s="15"/>
      <c r="P10" s="15"/>
      <c r="Q10" s="15"/>
      <c r="R10" s="15"/>
      <c r="S10" s="15"/>
      <c r="T10" s="15"/>
      <c r="U10" s="15"/>
      <c r="V10" s="15"/>
      <c r="W10" s="15"/>
    </row>
    <row r="11" spans="2:23" x14ac:dyDescent="0.2">
      <c r="B11" s="15"/>
      <c r="C11" s="15"/>
      <c r="D11" s="15"/>
      <c r="E11" s="15"/>
      <c r="F11" s="15"/>
      <c r="G11" s="15"/>
      <c r="H11" s="15"/>
      <c r="I11" s="15"/>
      <c r="J11" s="15"/>
      <c r="K11" s="15"/>
      <c r="L11" s="15"/>
      <c r="M11" s="15"/>
      <c r="N11" s="15"/>
      <c r="O11" s="15"/>
      <c r="P11" s="15"/>
      <c r="Q11" s="15"/>
      <c r="R11" s="15"/>
      <c r="S11" s="15"/>
      <c r="T11" s="15"/>
      <c r="U11" s="15"/>
      <c r="V11" s="15"/>
      <c r="W11" s="15"/>
    </row>
    <row r="12" spans="2:23" x14ac:dyDescent="0.2">
      <c r="B12" s="15"/>
      <c r="C12" s="134" t="s">
        <v>703</v>
      </c>
      <c r="D12" s="15"/>
      <c r="E12" s="15"/>
      <c r="F12" s="15"/>
      <c r="G12" s="15"/>
      <c r="H12" s="15"/>
      <c r="I12" s="15"/>
      <c r="J12" s="15"/>
      <c r="K12" s="15"/>
      <c r="L12" s="15"/>
      <c r="M12" s="15"/>
      <c r="N12" s="15"/>
      <c r="O12" s="15"/>
      <c r="P12" s="15"/>
      <c r="Q12" s="15"/>
      <c r="R12" s="15"/>
      <c r="S12" s="15"/>
      <c r="T12" s="15"/>
      <c r="U12" s="15"/>
      <c r="V12" s="15"/>
      <c r="W12" s="15"/>
    </row>
    <row r="13" spans="2:23" x14ac:dyDescent="0.2">
      <c r="B13" s="15"/>
      <c r="C13" s="8" t="s">
        <v>704</v>
      </c>
      <c r="D13" s="103" t="s">
        <v>705</v>
      </c>
      <c r="E13" s="104">
        <v>142.6</v>
      </c>
      <c r="F13" s="4">
        <v>385.4</v>
      </c>
      <c r="G13" s="9">
        <f>E13*F13</f>
        <v>54958.039999999994</v>
      </c>
      <c r="H13" s="9">
        <f>G13-(1850)+(4200)</f>
        <v>57308.039999999994</v>
      </c>
      <c r="I13" s="10">
        <v>4980</v>
      </c>
      <c r="J13" s="63">
        <f>H13/I13</f>
        <v>11.507638554216866</v>
      </c>
      <c r="K13" s="15"/>
      <c r="L13" s="22" t="s">
        <v>706</v>
      </c>
      <c r="M13" s="15"/>
      <c r="N13" s="15"/>
      <c r="O13" s="15"/>
      <c r="P13" s="15"/>
      <c r="Q13" s="15"/>
      <c r="R13" s="15"/>
      <c r="S13" s="15"/>
      <c r="T13" s="15"/>
      <c r="U13" s="15"/>
      <c r="V13" s="15"/>
      <c r="W13" s="15"/>
    </row>
    <row r="14" spans="2:23" x14ac:dyDescent="0.2">
      <c r="B14" s="15"/>
      <c r="C14" s="8" t="s">
        <v>707</v>
      </c>
      <c r="D14" s="103" t="s">
        <v>708</v>
      </c>
      <c r="E14" s="104">
        <v>268.35000000000002</v>
      </c>
      <c r="F14" s="4">
        <v>96.8</v>
      </c>
      <c r="G14" s="9">
        <f>E14*F14</f>
        <v>25976.280000000002</v>
      </c>
      <c r="H14" s="9">
        <f>G14-(720)+(2900)</f>
        <v>28156.280000000002</v>
      </c>
      <c r="I14" s="10">
        <v>2270</v>
      </c>
      <c r="J14" s="63">
        <f>H14/I14</f>
        <v>12.403647577092512</v>
      </c>
      <c r="K14" s="15"/>
      <c r="L14" s="15"/>
      <c r="M14" s="15"/>
      <c r="N14" s="15"/>
      <c r="O14" s="15"/>
      <c r="P14" s="15"/>
      <c r="Q14" s="15"/>
      <c r="R14" s="15"/>
      <c r="S14" s="15"/>
      <c r="T14" s="15"/>
      <c r="U14" s="15"/>
      <c r="V14" s="15"/>
      <c r="W14" s="15"/>
    </row>
    <row r="15" spans="2:23" ht="17" thickBot="1" x14ac:dyDescent="0.25">
      <c r="B15" s="15"/>
      <c r="C15" s="58" t="s">
        <v>709</v>
      </c>
      <c r="D15" s="15"/>
      <c r="E15" s="15"/>
      <c r="F15" s="15"/>
      <c r="G15" s="15"/>
      <c r="H15" s="15"/>
      <c r="I15" s="15"/>
      <c r="J15" s="160">
        <f>AVERAGE(J13:J14)</f>
        <v>11.955643065654689</v>
      </c>
      <c r="K15" s="15"/>
      <c r="L15" s="15"/>
      <c r="M15" s="15"/>
      <c r="N15" s="15"/>
      <c r="O15" s="15"/>
      <c r="P15" s="15"/>
      <c r="Q15" s="15"/>
      <c r="R15" s="15"/>
      <c r="S15" s="15"/>
      <c r="T15" s="15"/>
      <c r="U15" s="15"/>
      <c r="V15" s="15"/>
      <c r="W15" s="15"/>
    </row>
    <row r="16" spans="2:23" ht="17" thickTop="1" x14ac:dyDescent="0.2">
      <c r="B16" s="15"/>
      <c r="C16" s="15"/>
      <c r="D16" s="15"/>
      <c r="E16" s="15"/>
      <c r="F16" s="15"/>
      <c r="G16" s="15"/>
      <c r="H16" s="15"/>
      <c r="I16" s="15"/>
      <c r="J16" s="15"/>
      <c r="K16" s="15"/>
      <c r="L16" s="15"/>
      <c r="M16" s="15"/>
      <c r="N16" s="15"/>
      <c r="O16" s="15"/>
      <c r="P16" s="15"/>
      <c r="Q16" s="15"/>
      <c r="R16" s="15"/>
      <c r="S16" s="15"/>
      <c r="T16" s="15"/>
      <c r="U16" s="15"/>
      <c r="V16" s="15"/>
      <c r="W16" s="15"/>
    </row>
    <row r="17" spans="2:23" x14ac:dyDescent="0.2">
      <c r="B17" s="64" t="s">
        <v>710</v>
      </c>
      <c r="C17" s="64"/>
      <c r="D17" s="64"/>
      <c r="E17" s="64"/>
      <c r="F17" s="64"/>
      <c r="G17" s="64"/>
      <c r="H17" s="64"/>
      <c r="I17" s="64"/>
      <c r="J17" s="64"/>
      <c r="K17" s="64"/>
      <c r="L17" s="64"/>
      <c r="M17" s="15"/>
      <c r="N17" s="15"/>
      <c r="O17" s="15"/>
      <c r="P17" s="15"/>
      <c r="Q17" s="15"/>
      <c r="R17" s="15"/>
      <c r="S17" s="15"/>
      <c r="T17" s="15"/>
      <c r="U17" s="15"/>
      <c r="V17" s="15"/>
      <c r="W17" s="15"/>
    </row>
    <row r="18" spans="2:23" x14ac:dyDescent="0.2">
      <c r="B18" s="15"/>
      <c r="C18" s="15"/>
      <c r="D18" s="15"/>
      <c r="E18" s="15"/>
      <c r="F18" s="15"/>
      <c r="G18" s="15"/>
      <c r="H18" s="15"/>
      <c r="I18" s="15"/>
      <c r="J18" s="15"/>
      <c r="K18" s="15"/>
      <c r="L18" s="15"/>
      <c r="M18" s="15"/>
      <c r="N18" s="15"/>
      <c r="O18" s="15"/>
      <c r="P18" s="15"/>
      <c r="Q18" s="15"/>
      <c r="R18" s="15"/>
      <c r="S18" s="15"/>
      <c r="T18" s="15"/>
      <c r="U18" s="15"/>
      <c r="V18" s="15"/>
      <c r="W18" s="15"/>
    </row>
    <row r="19" spans="2:23" x14ac:dyDescent="0.2">
      <c r="B19" s="15"/>
      <c r="C19" s="8" t="s">
        <v>711</v>
      </c>
      <c r="D19" s="15"/>
      <c r="E19" s="108">
        <f>Acquirer!G192</f>
        <v>675.99632592999978</v>
      </c>
      <c r="F19" s="15"/>
      <c r="G19" s="15"/>
      <c r="H19" s="15"/>
      <c r="I19" s="15"/>
      <c r="J19" s="15"/>
      <c r="K19" s="15"/>
      <c r="L19" s="15"/>
      <c r="M19" s="15"/>
      <c r="N19" s="15"/>
      <c r="O19" s="15"/>
      <c r="P19" s="15"/>
      <c r="Q19" s="15"/>
      <c r="R19" s="15"/>
      <c r="S19" s="15"/>
      <c r="T19" s="15"/>
      <c r="U19" s="15"/>
      <c r="V19" s="15"/>
      <c r="W19" s="15"/>
    </row>
    <row r="20" spans="2:23" x14ac:dyDescent="0.2">
      <c r="B20" s="15"/>
      <c r="C20" s="8" t="s">
        <v>712</v>
      </c>
      <c r="D20" s="15"/>
      <c r="E20" s="108">
        <f>Target!G192</f>
        <v>347.03477438399995</v>
      </c>
      <c r="F20" s="15"/>
      <c r="G20" s="15"/>
      <c r="H20" s="15"/>
      <c r="I20" s="15"/>
      <c r="J20" s="15"/>
      <c r="K20" s="15"/>
      <c r="L20" s="15"/>
      <c r="M20" s="15"/>
      <c r="N20" s="15"/>
      <c r="O20" s="15"/>
      <c r="P20" s="15"/>
      <c r="Q20" s="15"/>
      <c r="R20" s="15"/>
      <c r="S20" s="15"/>
      <c r="T20" s="15"/>
      <c r="U20" s="15"/>
      <c r="V20" s="15"/>
      <c r="W20" s="15"/>
    </row>
    <row r="21" spans="2:23" x14ac:dyDescent="0.2">
      <c r="B21" s="15"/>
      <c r="C21" s="8" t="s">
        <v>713</v>
      </c>
      <c r="D21" s="15"/>
      <c r="E21" s="108">
        <f>Synergies!G40</f>
        <v>3.2059250621318469</v>
      </c>
      <c r="F21" s="15"/>
      <c r="G21" s="15"/>
      <c r="H21" s="15"/>
      <c r="I21" s="15"/>
      <c r="J21" s="15"/>
      <c r="K21" s="15"/>
      <c r="L21" s="22" t="s">
        <v>714</v>
      </c>
      <c r="M21" s="15"/>
      <c r="N21" s="15"/>
      <c r="O21" s="15"/>
      <c r="P21" s="15"/>
      <c r="Q21" s="15"/>
      <c r="R21" s="15"/>
      <c r="S21" s="15"/>
      <c r="T21" s="15"/>
      <c r="U21" s="15"/>
      <c r="V21" s="15"/>
      <c r="W21" s="15"/>
    </row>
    <row r="22" spans="2:23" ht="17" thickBot="1" x14ac:dyDescent="0.25">
      <c r="B22" s="15"/>
      <c r="C22" s="5" t="s">
        <v>715</v>
      </c>
      <c r="D22" s="15"/>
      <c r="E22" s="11">
        <f>SUM(E19:E21)</f>
        <v>1026.2370253761317</v>
      </c>
      <c r="F22" s="15"/>
      <c r="G22" s="15"/>
      <c r="H22" s="15"/>
      <c r="I22" s="15"/>
      <c r="J22" s="15"/>
      <c r="K22" s="15"/>
      <c r="L22" s="15"/>
      <c r="M22" s="15"/>
      <c r="N22" s="15"/>
      <c r="O22" s="15"/>
      <c r="P22" s="15"/>
      <c r="Q22" s="15"/>
      <c r="R22" s="15"/>
      <c r="S22" s="15"/>
      <c r="T22" s="15"/>
      <c r="U22" s="15"/>
      <c r="V22" s="15"/>
      <c r="W22" s="15"/>
    </row>
    <row r="23" spans="2:23" ht="17" thickTop="1" x14ac:dyDescent="0.2">
      <c r="B23" s="15"/>
      <c r="C23" s="15"/>
      <c r="D23" s="15"/>
      <c r="E23" s="15"/>
      <c r="F23" s="15"/>
      <c r="G23" s="15"/>
      <c r="H23" s="15"/>
      <c r="I23" s="15"/>
      <c r="J23" s="15"/>
      <c r="K23" s="15"/>
      <c r="L23" s="15"/>
      <c r="M23" s="15"/>
      <c r="N23" s="15"/>
      <c r="O23" s="15"/>
      <c r="P23" s="15"/>
      <c r="Q23" s="15"/>
      <c r="R23" s="15"/>
      <c r="S23" s="15"/>
      <c r="T23" s="15"/>
      <c r="U23" s="15"/>
      <c r="V23" s="15"/>
      <c r="W23" s="15"/>
    </row>
    <row r="24" spans="2:23" x14ac:dyDescent="0.2">
      <c r="B24" s="15"/>
      <c r="C24" s="8" t="s">
        <v>716</v>
      </c>
      <c r="D24" s="15"/>
      <c r="E24" s="63">
        <f>$J$15</f>
        <v>11.955643065654689</v>
      </c>
      <c r="F24" s="15"/>
      <c r="G24" s="15"/>
      <c r="H24" s="15"/>
      <c r="I24" s="15"/>
      <c r="J24" s="15"/>
      <c r="K24" s="15"/>
      <c r="L24" s="15"/>
      <c r="M24" s="15"/>
      <c r="N24" s="15"/>
      <c r="O24" s="15"/>
      <c r="P24" s="15"/>
      <c r="Q24" s="15"/>
      <c r="R24" s="15"/>
      <c r="S24" s="15"/>
      <c r="T24" s="15"/>
      <c r="U24" s="15"/>
      <c r="V24" s="15"/>
      <c r="W24" s="15"/>
    </row>
    <row r="25" spans="2:23" x14ac:dyDescent="0.2">
      <c r="B25" s="15"/>
      <c r="C25" s="5" t="s">
        <v>717</v>
      </c>
      <c r="D25" s="15"/>
      <c r="E25" s="7">
        <f>E22*E24</f>
        <v>12269.323576156245</v>
      </c>
      <c r="F25" s="15"/>
      <c r="G25" s="15"/>
      <c r="H25" s="15"/>
      <c r="I25" s="15"/>
      <c r="J25" s="15"/>
      <c r="K25" s="15"/>
      <c r="L25" s="15"/>
      <c r="M25" s="15"/>
      <c r="N25" s="15"/>
      <c r="O25" s="15"/>
      <c r="P25" s="15"/>
      <c r="Q25" s="15"/>
      <c r="R25" s="15"/>
      <c r="S25" s="15"/>
      <c r="T25" s="15"/>
      <c r="U25" s="15"/>
      <c r="V25" s="15"/>
      <c r="W25" s="15"/>
    </row>
    <row r="26" spans="2:23" x14ac:dyDescent="0.2">
      <c r="B26" s="15"/>
      <c r="C26" s="8" t="s">
        <v>718</v>
      </c>
      <c r="D26" s="15"/>
      <c r="E26" s="108">
        <f>Merger_Model!G170</f>
        <v>834.92069311680189</v>
      </c>
      <c r="F26" s="15"/>
      <c r="G26" s="15"/>
      <c r="H26" s="15"/>
      <c r="I26" s="15"/>
      <c r="J26" s="15"/>
      <c r="K26" s="15"/>
      <c r="L26" s="15"/>
      <c r="M26" s="15"/>
      <c r="N26" s="15"/>
      <c r="O26" s="15"/>
      <c r="P26" s="15"/>
      <c r="Q26" s="15"/>
      <c r="R26" s="15"/>
      <c r="S26" s="15"/>
      <c r="T26" s="15"/>
      <c r="U26" s="15"/>
      <c r="V26" s="15"/>
      <c r="W26" s="15"/>
    </row>
    <row r="27" spans="2:23" x14ac:dyDescent="0.2">
      <c r="B27" s="15"/>
      <c r="C27" s="8" t="s">
        <v>719</v>
      </c>
      <c r="D27" s="15"/>
      <c r="E27" s="108">
        <f>-Merger_Model!G175</f>
        <v>-1871.4</v>
      </c>
      <c r="F27" s="15"/>
      <c r="G27" s="15"/>
      <c r="H27" s="15"/>
      <c r="I27" s="15"/>
      <c r="J27" s="15"/>
      <c r="K27" s="15"/>
      <c r="L27" s="15"/>
      <c r="M27" s="15"/>
      <c r="N27" s="15"/>
      <c r="O27" s="15"/>
      <c r="P27" s="15"/>
      <c r="Q27" s="15"/>
      <c r="R27" s="15"/>
      <c r="S27" s="15"/>
      <c r="T27" s="15"/>
      <c r="U27" s="15"/>
      <c r="V27" s="15"/>
      <c r="W27" s="15"/>
    </row>
    <row r="28" spans="2:23" x14ac:dyDescent="0.2">
      <c r="B28" s="15"/>
      <c r="C28" s="5" t="s">
        <v>674</v>
      </c>
      <c r="D28" s="15"/>
      <c r="E28" s="7">
        <f>E25+E26+E27</f>
        <v>11232.844269273048</v>
      </c>
      <c r="F28" s="15"/>
      <c r="G28" s="15"/>
      <c r="H28" s="15"/>
      <c r="I28" s="15"/>
      <c r="J28" s="15"/>
      <c r="K28" s="15"/>
      <c r="L28" s="15"/>
      <c r="M28" s="15"/>
      <c r="N28" s="15"/>
      <c r="O28" s="15"/>
      <c r="P28" s="15"/>
      <c r="Q28" s="15"/>
      <c r="R28" s="15"/>
      <c r="S28" s="15"/>
      <c r="T28" s="15"/>
      <c r="U28" s="15"/>
      <c r="V28" s="15"/>
      <c r="W28" s="15"/>
    </row>
    <row r="29" spans="2:23" x14ac:dyDescent="0.2">
      <c r="B29" s="15"/>
      <c r="C29" s="8" t="s">
        <v>720</v>
      </c>
      <c r="D29" s="15"/>
      <c r="E29" s="107">
        <f>Merger_Model!G130</f>
        <v>196.90405797101448</v>
      </c>
      <c r="F29" s="15"/>
      <c r="G29" s="15"/>
      <c r="H29" s="15"/>
      <c r="I29" s="15"/>
      <c r="J29" s="15"/>
      <c r="K29" s="15"/>
      <c r="L29" s="15"/>
      <c r="M29" s="15"/>
      <c r="N29" s="15"/>
      <c r="O29" s="15"/>
      <c r="P29" s="15"/>
      <c r="Q29" s="15"/>
      <c r="R29" s="15"/>
      <c r="S29" s="15"/>
      <c r="T29" s="15"/>
      <c r="U29" s="15"/>
      <c r="V29" s="15"/>
      <c r="W29" s="15"/>
    </row>
    <row r="30" spans="2:23" x14ac:dyDescent="0.2">
      <c r="B30" s="15"/>
      <c r="C30" s="5" t="s">
        <v>578</v>
      </c>
      <c r="D30" s="15"/>
      <c r="E30" s="123">
        <f>E28/E29</f>
        <v>57.047296967981197</v>
      </c>
      <c r="F30" s="15"/>
      <c r="G30" s="15"/>
      <c r="H30" s="15"/>
      <c r="I30" s="15"/>
      <c r="J30" s="15"/>
      <c r="K30" s="15"/>
      <c r="L30" s="15"/>
      <c r="M30" s="15"/>
      <c r="N30" s="15"/>
      <c r="O30" s="15"/>
      <c r="P30" s="15"/>
      <c r="Q30" s="15"/>
      <c r="R30" s="15"/>
      <c r="S30" s="15"/>
      <c r="T30" s="15"/>
      <c r="U30" s="15"/>
      <c r="V30" s="15"/>
      <c r="W30" s="15"/>
    </row>
    <row r="31" spans="2:23" x14ac:dyDescent="0.2">
      <c r="B31" s="15"/>
      <c r="C31" s="8" t="s">
        <v>721</v>
      </c>
      <c r="D31" s="15"/>
      <c r="E31" s="106">
        <f>Acquirer!E11</f>
        <v>34.5</v>
      </c>
      <c r="F31" s="15"/>
      <c r="G31" s="15"/>
      <c r="H31" s="15"/>
      <c r="I31" s="15"/>
      <c r="J31" s="15"/>
      <c r="K31" s="15"/>
      <c r="L31" s="15"/>
      <c r="M31" s="15"/>
      <c r="N31" s="15"/>
      <c r="O31" s="15"/>
      <c r="P31" s="15"/>
      <c r="Q31" s="15"/>
      <c r="R31" s="15"/>
      <c r="S31" s="15"/>
      <c r="T31" s="15"/>
      <c r="U31" s="15"/>
      <c r="V31" s="15"/>
      <c r="W31" s="15"/>
    </row>
    <row r="32" spans="2:23" x14ac:dyDescent="0.2">
      <c r="B32" s="15"/>
      <c r="C32" s="15"/>
      <c r="D32" s="15"/>
      <c r="E32" s="15"/>
      <c r="F32" s="15"/>
      <c r="G32" s="15"/>
      <c r="H32" s="15"/>
      <c r="I32" s="15"/>
      <c r="J32" s="15"/>
      <c r="K32" s="15"/>
      <c r="L32" s="15"/>
      <c r="M32" s="15"/>
      <c r="N32" s="15"/>
      <c r="O32" s="15"/>
      <c r="P32" s="15"/>
      <c r="Q32" s="15"/>
      <c r="R32" s="15"/>
      <c r="S32" s="15"/>
      <c r="T32" s="15"/>
      <c r="U32" s="15"/>
      <c r="V32" s="15"/>
      <c r="W32" s="15"/>
    </row>
    <row r="33" spans="2:23" ht="17" thickBot="1" x14ac:dyDescent="0.25">
      <c r="B33" s="15"/>
      <c r="C33" s="5" t="s">
        <v>722</v>
      </c>
      <c r="D33" s="15"/>
      <c r="E33" s="161">
        <f>E30-E31</f>
        <v>22.547296967981197</v>
      </c>
      <c r="F33" s="15"/>
      <c r="G33" s="15"/>
      <c r="H33" s="15"/>
      <c r="I33" s="15"/>
      <c r="J33" s="15"/>
      <c r="K33" s="15"/>
      <c r="L33" s="22" t="s">
        <v>723</v>
      </c>
      <c r="M33" s="15"/>
      <c r="N33" s="15"/>
      <c r="O33" s="15"/>
      <c r="P33" s="15"/>
      <c r="Q33" s="15"/>
      <c r="R33" s="15"/>
      <c r="S33" s="15"/>
      <c r="T33" s="15"/>
      <c r="U33" s="15"/>
      <c r="V33" s="15"/>
      <c r="W33" s="15"/>
    </row>
    <row r="34" spans="2:23" ht="17" thickTop="1" x14ac:dyDescent="0.2">
      <c r="B34" s="15"/>
      <c r="C34" s="5" t="s">
        <v>724</v>
      </c>
      <c r="D34" s="15"/>
      <c r="E34" s="109">
        <f>E33/E31</f>
        <v>0.65354483965162891</v>
      </c>
      <c r="F34" s="15"/>
      <c r="G34" s="15"/>
      <c r="H34" s="15"/>
      <c r="I34" s="15"/>
      <c r="J34" s="15"/>
      <c r="K34" s="15"/>
      <c r="L34" s="22"/>
      <c r="M34" s="15"/>
      <c r="N34" s="15"/>
      <c r="O34" s="15"/>
      <c r="P34" s="15"/>
      <c r="Q34" s="15"/>
      <c r="R34" s="15"/>
      <c r="S34" s="15"/>
      <c r="T34" s="15"/>
      <c r="U34" s="15"/>
      <c r="V34" s="15"/>
      <c r="W34" s="15"/>
    </row>
    <row r="35" spans="2:23" x14ac:dyDescent="0.2">
      <c r="B35" s="15"/>
      <c r="C35" s="136" t="s">
        <v>725</v>
      </c>
      <c r="D35" s="15"/>
      <c r="E35" s="15"/>
      <c r="F35" s="15"/>
      <c r="G35" s="15"/>
      <c r="H35" s="15"/>
      <c r="I35" s="15"/>
      <c r="J35" s="15"/>
      <c r="K35" s="15"/>
      <c r="L35" s="22"/>
      <c r="M35" s="15"/>
      <c r="N35" s="15"/>
      <c r="O35" s="15"/>
      <c r="P35" s="15"/>
      <c r="Q35" s="15"/>
      <c r="R35" s="15"/>
      <c r="S35" s="15"/>
      <c r="T35" s="15"/>
      <c r="U35" s="15"/>
      <c r="V35" s="15"/>
      <c r="W35" s="15"/>
    </row>
    <row r="36" spans="2:23" x14ac:dyDescent="0.2">
      <c r="B36" s="15"/>
      <c r="C36" s="8" t="s">
        <v>726</v>
      </c>
      <c r="D36" s="15"/>
      <c r="E36" s="132">
        <f>(Acquirer!I192*Value_Creation!J9-Acquirer!I135+Acquirer!I116)/Acquirer!E15</f>
        <v>45.10828279764074</v>
      </c>
      <c r="F36" s="15"/>
      <c r="G36" s="15"/>
      <c r="H36" s="15"/>
      <c r="I36" s="15"/>
      <c r="J36" s="15"/>
      <c r="K36" s="15"/>
      <c r="L36" s="22" t="s">
        <v>727</v>
      </c>
      <c r="M36" s="15"/>
      <c r="N36" s="15"/>
      <c r="O36" s="15"/>
      <c r="P36" s="15"/>
      <c r="Q36" s="15"/>
      <c r="R36" s="15"/>
      <c r="S36" s="15"/>
      <c r="T36" s="15"/>
      <c r="U36" s="15"/>
      <c r="V36" s="15"/>
      <c r="W36" s="15"/>
    </row>
    <row r="37" spans="2:23" x14ac:dyDescent="0.2">
      <c r="B37" s="15"/>
      <c r="C37" s="8" t="s">
        <v>728</v>
      </c>
      <c r="D37" s="15"/>
      <c r="E37" s="132">
        <f>(Merger_Model!I179*Value_Creation!J9-Merger_Model!I175+Merger_Model!I170)/Merger_Model!I130</f>
        <v>48.755591941016341</v>
      </c>
      <c r="F37" s="15"/>
      <c r="G37" s="15"/>
      <c r="H37" s="15"/>
      <c r="I37" s="15"/>
      <c r="J37" s="15"/>
      <c r="K37" s="15"/>
      <c r="L37" s="22"/>
      <c r="M37" s="15"/>
      <c r="N37" s="15"/>
      <c r="O37" s="15"/>
      <c r="P37" s="15"/>
      <c r="Q37" s="15"/>
      <c r="R37" s="15"/>
      <c r="S37" s="15"/>
      <c r="T37" s="15"/>
      <c r="U37" s="15"/>
      <c r="V37" s="15"/>
      <c r="W37" s="15"/>
    </row>
    <row r="38" spans="2:23" x14ac:dyDescent="0.2">
      <c r="B38" s="15"/>
      <c r="C38" s="5" t="s">
        <v>729</v>
      </c>
      <c r="D38" s="15"/>
      <c r="E38" s="162">
        <f>E37-E36</f>
        <v>3.6473091433756011</v>
      </c>
      <c r="F38" s="15"/>
      <c r="G38" s="15"/>
      <c r="H38" s="15"/>
      <c r="I38" s="15"/>
      <c r="J38" s="15"/>
      <c r="K38" s="15"/>
      <c r="L38" s="22" t="s">
        <v>730</v>
      </c>
      <c r="M38" s="15"/>
      <c r="N38" s="15"/>
      <c r="O38" s="15"/>
      <c r="P38" s="15"/>
      <c r="Q38" s="15"/>
      <c r="R38" s="15"/>
      <c r="S38" s="15"/>
      <c r="T38" s="15"/>
      <c r="U38" s="15"/>
      <c r="V38" s="15"/>
      <c r="W38" s="15"/>
    </row>
    <row r="39" spans="2:23" x14ac:dyDescent="0.2">
      <c r="B39" s="15"/>
      <c r="C39" s="5" t="s">
        <v>731</v>
      </c>
      <c r="D39" s="15"/>
      <c r="E39" s="159">
        <f>E38/E36</f>
        <v>8.0856749961813287E-2</v>
      </c>
      <c r="F39" s="15"/>
      <c r="G39" s="15"/>
      <c r="H39" s="15"/>
      <c r="I39" s="15"/>
      <c r="J39" s="15"/>
      <c r="K39" s="15"/>
      <c r="L39" s="15"/>
      <c r="M39" s="15"/>
      <c r="N39" s="15"/>
      <c r="O39" s="15"/>
      <c r="P39" s="15"/>
      <c r="Q39" s="15"/>
      <c r="R39" s="15"/>
      <c r="S39" s="15"/>
      <c r="T39" s="15"/>
      <c r="U39" s="15"/>
      <c r="V39" s="15"/>
      <c r="W39" s="15"/>
    </row>
    <row r="40" spans="2:23" x14ac:dyDescent="0.2">
      <c r="B40" s="15"/>
      <c r="C40" s="15"/>
      <c r="D40" s="15"/>
      <c r="E40" s="15"/>
      <c r="F40" s="15"/>
      <c r="G40" s="15"/>
      <c r="H40" s="15"/>
      <c r="I40" s="15"/>
      <c r="J40" s="15"/>
      <c r="K40" s="15"/>
      <c r="L40" s="15"/>
      <c r="M40" s="15"/>
      <c r="N40" s="15"/>
      <c r="O40" s="15"/>
      <c r="P40" s="15"/>
      <c r="Q40" s="15"/>
      <c r="R40" s="15"/>
      <c r="S40" s="15"/>
      <c r="T40" s="15"/>
      <c r="U40" s="15"/>
      <c r="V40" s="15"/>
      <c r="W40" s="15"/>
    </row>
    <row r="41" spans="2:23" x14ac:dyDescent="0.2">
      <c r="B41" s="15"/>
      <c r="C41" s="15"/>
      <c r="D41" s="15"/>
      <c r="E41" s="15"/>
      <c r="F41" s="15"/>
      <c r="G41" s="15"/>
      <c r="H41" s="15"/>
      <c r="I41" s="15"/>
      <c r="J41" s="15"/>
      <c r="K41" s="15"/>
      <c r="L41" s="15"/>
      <c r="M41" s="15"/>
      <c r="N41" s="15"/>
      <c r="O41" s="15"/>
      <c r="P41" s="15"/>
      <c r="Q41" s="15"/>
      <c r="R41" s="15"/>
      <c r="S41" s="15"/>
      <c r="T41" s="15"/>
      <c r="U41" s="15"/>
      <c r="V41" s="15"/>
      <c r="W41" s="15"/>
    </row>
    <row r="42" spans="2:23" x14ac:dyDescent="0.2">
      <c r="B42" s="64" t="s">
        <v>732</v>
      </c>
      <c r="C42" s="64"/>
      <c r="D42" s="64"/>
      <c r="E42" s="64"/>
      <c r="F42" s="64"/>
      <c r="G42" s="64"/>
      <c r="H42" s="64"/>
      <c r="I42" s="64"/>
      <c r="J42" s="64"/>
      <c r="K42" s="64"/>
      <c r="L42" s="64"/>
      <c r="M42" s="15"/>
      <c r="N42" s="15"/>
      <c r="O42" s="15"/>
      <c r="P42" s="15"/>
      <c r="Q42" s="15"/>
      <c r="R42" s="15"/>
      <c r="S42" s="15"/>
      <c r="T42" s="15"/>
      <c r="U42" s="15"/>
      <c r="V42" s="15"/>
      <c r="W42" s="15"/>
    </row>
    <row r="43" spans="2:23" x14ac:dyDescent="0.2">
      <c r="B43" s="15"/>
      <c r="C43" s="15"/>
      <c r="D43" s="15"/>
      <c r="E43" s="15"/>
      <c r="F43" s="15"/>
      <c r="G43" s="15"/>
      <c r="H43" s="15"/>
      <c r="I43" s="15"/>
      <c r="J43" s="15"/>
      <c r="K43" s="15"/>
      <c r="L43" s="15"/>
      <c r="M43" s="15"/>
      <c r="N43" s="15"/>
      <c r="O43" s="15"/>
      <c r="P43" s="15"/>
      <c r="Q43" s="15"/>
      <c r="R43" s="15"/>
      <c r="S43" s="15"/>
      <c r="T43" s="15"/>
      <c r="U43" s="15"/>
      <c r="V43" s="15"/>
      <c r="W43" s="15"/>
    </row>
    <row r="44" spans="2:23" x14ac:dyDescent="0.2">
      <c r="B44" s="15"/>
      <c r="C44" s="136" t="s">
        <v>733</v>
      </c>
      <c r="D44" s="15"/>
      <c r="E44" s="15"/>
      <c r="F44" s="15"/>
      <c r="G44" s="15"/>
      <c r="H44" s="15"/>
      <c r="I44" s="15"/>
      <c r="J44" s="15"/>
      <c r="K44" s="15"/>
      <c r="L44" s="22" t="s">
        <v>734</v>
      </c>
      <c r="M44" s="15"/>
      <c r="N44" s="15"/>
      <c r="O44" s="15"/>
      <c r="P44" s="15"/>
      <c r="Q44" s="15"/>
      <c r="R44" s="15"/>
      <c r="S44" s="15"/>
      <c r="T44" s="15"/>
      <c r="U44" s="15"/>
      <c r="V44" s="15"/>
      <c r="W44" s="15"/>
    </row>
    <row r="45" spans="2:23" x14ac:dyDescent="0.2">
      <c r="B45" s="15"/>
      <c r="C45" s="15"/>
      <c r="D45" s="15"/>
      <c r="E45" s="15"/>
      <c r="F45" s="15"/>
      <c r="G45" s="15"/>
      <c r="H45" s="15"/>
      <c r="I45" s="15"/>
      <c r="J45" s="15"/>
      <c r="K45" s="15"/>
      <c r="L45" s="15"/>
      <c r="M45" s="15"/>
      <c r="N45" s="15"/>
      <c r="O45" s="15"/>
      <c r="P45" s="15"/>
      <c r="Q45" s="15"/>
      <c r="R45" s="15"/>
      <c r="S45" s="15"/>
      <c r="T45" s="15"/>
      <c r="U45" s="15"/>
      <c r="V45" s="15"/>
      <c r="W45" s="15"/>
    </row>
    <row r="46" spans="2:23" x14ac:dyDescent="0.2">
      <c r="B46" s="15"/>
      <c r="C46" s="15"/>
      <c r="D46" s="15"/>
      <c r="E46" s="150">
        <f>E33</f>
        <v>22.547296967981197</v>
      </c>
      <c r="F46" s="152">
        <v>8</v>
      </c>
      <c r="G46" s="152">
        <v>9.5</v>
      </c>
      <c r="H46" s="152">
        <v>11</v>
      </c>
      <c r="I46" s="152">
        <v>12.5</v>
      </c>
      <c r="J46" s="152">
        <v>14</v>
      </c>
      <c r="K46" s="15"/>
      <c r="L46" s="15"/>
      <c r="M46" s="15"/>
      <c r="N46" s="15"/>
      <c r="O46" s="15"/>
      <c r="P46" s="15"/>
      <c r="Q46" s="15"/>
      <c r="R46" s="15"/>
      <c r="S46" s="15"/>
      <c r="T46" s="15"/>
      <c r="U46" s="15"/>
      <c r="V46" s="15"/>
      <c r="W46" s="15"/>
    </row>
    <row r="47" spans="2:23" x14ac:dyDescent="0.2">
      <c r="B47" s="15"/>
      <c r="C47" s="15"/>
      <c r="D47" s="15"/>
      <c r="E47" s="139">
        <v>1.25</v>
      </c>
      <c r="F47" s="132">
        <f>($E$22*F$46+($E$26+$E$27))/(Acquirer!$E$15+Value_Creation!$E47*Merger_Model!$E$19)-Value_Creation!$E$31</f>
        <v>3.5500797935026824</v>
      </c>
      <c r="G47" s="132">
        <f>($E$22*G$46+($E$26+$E$27))/(Acquirer!$E$15+Value_Creation!$E47*Merger_Model!$E$19)-Value_Creation!$E$31</f>
        <v>11.715310101746198</v>
      </c>
      <c r="H47" s="132">
        <f>($E$22*H$46+($E$26+$E$27))/(Acquirer!$E$15+Value_Creation!$E47*Merger_Model!$E$19)-Value_Creation!$E$31</f>
        <v>19.880540409989713</v>
      </c>
      <c r="I47" s="132">
        <f>($E$22*I$46+($E$26+$E$27))/(Acquirer!$E$15+Value_Creation!$E47*Merger_Model!$E$19)-Value_Creation!$E$31</f>
        <v>28.045770718233229</v>
      </c>
      <c r="J47" s="132">
        <f>($E$22*J$46+($E$26+$E$27))/(Acquirer!$E$15+Value_Creation!$E47*Merger_Model!$E$19)-Value_Creation!$E$31</f>
        <v>36.211001026476751</v>
      </c>
      <c r="K47" s="15"/>
      <c r="L47" s="15"/>
      <c r="M47" s="15"/>
      <c r="N47" s="15"/>
      <c r="O47" s="15"/>
      <c r="P47" s="15"/>
      <c r="Q47" s="15"/>
      <c r="R47" s="15"/>
      <c r="S47" s="15"/>
      <c r="T47" s="15"/>
      <c r="U47" s="15"/>
      <c r="V47" s="15"/>
      <c r="W47" s="15"/>
    </row>
    <row r="48" spans="2:23" x14ac:dyDescent="0.2">
      <c r="B48" s="15"/>
      <c r="C48" s="137" t="s">
        <v>309</v>
      </c>
      <c r="D48" s="15"/>
      <c r="E48" s="139">
        <v>1.3</v>
      </c>
      <c r="F48" s="132">
        <f>($E$22*F$46+($E$26+$E$27))/(Acquirer!$E$15+Value_Creation!$E48*Merger_Model!$E$19)-Value_Creation!$E$31</f>
        <v>2.9946390410230279</v>
      </c>
      <c r="G48" s="132">
        <f>($E$22*G$46+($E$26+$E$27))/(Acquirer!$E$15+Value_Creation!$E48*Merger_Model!$E$19)-Value_Creation!$E$31</f>
        <v>11.040676388537065</v>
      </c>
      <c r="H48" s="132">
        <f>($E$22*H$46+($E$26+$E$27))/(Acquirer!$E$15+Value_Creation!$E48*Merger_Model!$E$19)-Value_Creation!$E$31</f>
        <v>19.086713736051109</v>
      </c>
      <c r="I48" s="132">
        <f>($E$22*I$46+($E$26+$E$27))/(Acquirer!$E$15+Value_Creation!$E48*Merger_Model!$E$19)-Value_Creation!$E$31</f>
        <v>27.132751083565147</v>
      </c>
      <c r="J48" s="132">
        <f>($E$22*J$46+($E$26+$E$27))/(Acquirer!$E$15+Value_Creation!$E48*Merger_Model!$E$19)-Value_Creation!$E$31</f>
        <v>35.178788431079184</v>
      </c>
      <c r="K48" s="15"/>
      <c r="L48" s="15"/>
      <c r="M48" s="15"/>
      <c r="N48" s="15"/>
      <c r="O48" s="15"/>
      <c r="P48" s="15"/>
      <c r="Q48" s="15"/>
      <c r="R48" s="15"/>
      <c r="S48" s="15"/>
      <c r="T48" s="15"/>
      <c r="U48" s="15"/>
      <c r="V48" s="15"/>
      <c r="W48" s="15"/>
    </row>
    <row r="49" spans="2:23" x14ac:dyDescent="0.2">
      <c r="B49" s="15"/>
      <c r="C49" s="15"/>
      <c r="D49" s="15"/>
      <c r="E49" s="139">
        <v>1.35</v>
      </c>
      <c r="F49" s="132">
        <f>($E$22*F$46+($E$26+$E$27))/(Acquirer!$E$15+Value_Creation!$E49*Merger_Model!$E$19)-Value_Creation!$E$31</f>
        <v>2.4551812062790788</v>
      </c>
      <c r="G49" s="132">
        <f>($E$22*G$46+($E$26+$E$27))/(Acquirer!$E$15+Value_Creation!$E49*Merger_Model!$E$19)-Value_Creation!$E$31</f>
        <v>10.385455394131547</v>
      </c>
      <c r="H49" s="132">
        <f>($E$22*H$46+($E$26+$E$27))/(Acquirer!$E$15+Value_Creation!$E49*Merger_Model!$E$19)-Value_Creation!$E$31</f>
        <v>18.315729581984016</v>
      </c>
      <c r="I49" s="132">
        <f>($E$22*I$46+($E$26+$E$27))/(Acquirer!$E$15+Value_Creation!$E49*Merger_Model!$E$19)-Value_Creation!$E$31</f>
        <v>26.246003769836484</v>
      </c>
      <c r="J49" s="132">
        <f>($E$22*J$46+($E$26+$E$27))/(Acquirer!$E$15+Value_Creation!$E49*Merger_Model!$E$19)-Value_Creation!$E$31</f>
        <v>34.176277957688953</v>
      </c>
      <c r="K49" s="15"/>
      <c r="L49" s="15"/>
      <c r="M49" s="15"/>
      <c r="N49" s="15"/>
      <c r="O49" s="15"/>
      <c r="P49" s="15"/>
      <c r="Q49" s="15"/>
      <c r="R49" s="15"/>
      <c r="S49" s="15"/>
      <c r="T49" s="15"/>
      <c r="U49" s="15"/>
      <c r="V49" s="15"/>
      <c r="W49" s="15"/>
    </row>
    <row r="50" spans="2:23" x14ac:dyDescent="0.2">
      <c r="B50" s="15"/>
      <c r="C50" s="15"/>
      <c r="D50" s="15"/>
      <c r="E50" s="139">
        <v>1.4</v>
      </c>
      <c r="F50" s="132">
        <f>($E$22*F$46+($E$26+$E$27))/(Acquirer!$E$15+Value_Creation!$E50*Merger_Model!$E$19)-Value_Creation!$E$31</f>
        <v>1.9310262065895429</v>
      </c>
      <c r="G50" s="132">
        <f>($E$22*G$46+($E$26+$E$27))/(Acquirer!$E$15+Value_Creation!$E50*Merger_Model!$E$19)-Value_Creation!$E$31</f>
        <v>9.7488210957674966</v>
      </c>
      <c r="H50" s="132">
        <f>($E$22*H$46+($E$26+$E$27))/(Acquirer!$E$15+Value_Creation!$E50*Merger_Model!$E$19)-Value_Creation!$E$31</f>
        <v>17.566615984945457</v>
      </c>
      <c r="I50" s="132">
        <f>($E$22*I$46+($E$26+$E$27))/(Acquirer!$E$15+Value_Creation!$E50*Merger_Model!$E$19)-Value_Creation!$E$31</f>
        <v>25.384410874123418</v>
      </c>
      <c r="J50" s="132">
        <f>($E$22*J$46+($E$26+$E$27))/(Acquirer!$E$15+Value_Creation!$E50*Merger_Model!$E$19)-Value_Creation!$E$31</f>
        <v>33.202205763301379</v>
      </c>
      <c r="K50" s="15"/>
      <c r="L50" s="15"/>
      <c r="M50" s="15"/>
      <c r="N50" s="15"/>
      <c r="O50" s="15"/>
      <c r="P50" s="15"/>
      <c r="Q50" s="15"/>
      <c r="R50" s="15"/>
      <c r="S50" s="15"/>
      <c r="T50" s="15"/>
      <c r="U50" s="15"/>
      <c r="V50" s="15"/>
      <c r="W50" s="15"/>
    </row>
    <row r="51" spans="2:23" x14ac:dyDescent="0.2">
      <c r="B51" s="15"/>
      <c r="C51" s="15"/>
      <c r="D51" s="15"/>
      <c r="E51" s="139">
        <v>1.45</v>
      </c>
      <c r="F51" s="132">
        <f>($E$22*F$46+($E$26+$E$27))/(Acquirer!$E$15+Value_Creation!$E51*Merger_Model!$E$19)-Value_Creation!$E$31</f>
        <v>1.4215320035688492</v>
      </c>
      <c r="G51" s="132">
        <f>($E$22*G$46+($E$26+$E$27))/(Acquirer!$E$15+Value_Creation!$E51*Merger_Model!$E$19)-Value_Creation!$E$31</f>
        <v>9.129993678967594</v>
      </c>
      <c r="H51" s="132">
        <f>($E$22*H$46+($E$26+$E$27))/(Acquirer!$E$15+Value_Creation!$E51*Merger_Model!$E$19)-Value_Creation!$E$31</f>
        <v>16.838455354366346</v>
      </c>
      <c r="I51" s="132">
        <f>($E$22*I$46+($E$26+$E$27))/(Acquirer!$E$15+Value_Creation!$E51*Merger_Model!$E$19)-Value_Creation!$E$31</f>
        <v>24.546917029765098</v>
      </c>
      <c r="J51" s="132">
        <f>($E$22*J$46+($E$26+$E$27))/(Acquirer!$E$15+Value_Creation!$E51*Merger_Model!$E$19)-Value_Creation!$E$31</f>
        <v>32.255378705163849</v>
      </c>
      <c r="K51" s="15"/>
      <c r="L51" s="15"/>
      <c r="M51" s="15"/>
      <c r="N51" s="15"/>
      <c r="O51" s="15"/>
      <c r="P51" s="15"/>
      <c r="Q51" s="15"/>
      <c r="R51" s="15"/>
      <c r="S51" s="15"/>
      <c r="T51" s="15"/>
      <c r="U51" s="15"/>
      <c r="V51" s="15"/>
      <c r="W51" s="15"/>
    </row>
    <row r="52" spans="2:23" x14ac:dyDescent="0.2">
      <c r="B52" s="15"/>
      <c r="C52" s="15"/>
      <c r="D52" s="15"/>
      <c r="E52" s="139">
        <v>1.5</v>
      </c>
      <c r="F52" s="132">
        <f>($E$22*F$46+($E$26+$E$27))/(Acquirer!$E$15+Value_Creation!$E52*Merger_Model!$E$19)-Value_Creation!$E$31</f>
        <v>0.92609197953823497</v>
      </c>
      <c r="G52" s="132">
        <f>($E$22*G$46+($E$26+$E$27))/(Acquirer!$E$15+Value_Creation!$E52*Merger_Model!$E$19)-Value_Creation!$E$31</f>
        <v>8.5282363509500811</v>
      </c>
      <c r="H52" s="132">
        <f>($E$22*H$46+($E$26+$E$27))/(Acquirer!$E$15+Value_Creation!$E52*Merger_Model!$E$19)-Value_Creation!$E$31</f>
        <v>16.130380722361927</v>
      </c>
      <c r="I52" s="132">
        <f>($E$22*I$46+($E$26+$E$27))/(Acquirer!$E$15+Value_Creation!$E52*Merger_Model!$E$19)-Value_Creation!$E$31</f>
        <v>23.732525093773781</v>
      </c>
      <c r="J52" s="132">
        <f>($E$22*J$46+($E$26+$E$27))/(Acquirer!$E$15+Value_Creation!$E52*Merger_Model!$E$19)-Value_Creation!$E$31</f>
        <v>31.334669465185627</v>
      </c>
      <c r="K52" s="15"/>
      <c r="L52" s="15"/>
      <c r="M52" s="15"/>
      <c r="N52" s="15"/>
      <c r="O52" s="15"/>
      <c r="P52" s="15"/>
      <c r="Q52" s="15"/>
      <c r="R52" s="15"/>
      <c r="S52" s="15"/>
      <c r="T52" s="15"/>
      <c r="U52" s="15"/>
      <c r="V52" s="15"/>
      <c r="W52" s="15"/>
    </row>
    <row r="53" spans="2:23" x14ac:dyDescent="0.2">
      <c r="B53" s="15"/>
      <c r="C53" s="136" t="s">
        <v>735</v>
      </c>
      <c r="D53" s="15"/>
      <c r="E53" s="15"/>
      <c r="F53" s="15"/>
      <c r="G53" s="15"/>
      <c r="H53" s="15"/>
      <c r="I53" s="15"/>
      <c r="J53" s="15"/>
      <c r="K53" s="15"/>
      <c r="L53" s="22" t="s">
        <v>736</v>
      </c>
      <c r="M53" s="15"/>
      <c r="N53" s="15"/>
      <c r="O53" s="15"/>
      <c r="P53" s="15"/>
      <c r="Q53" s="15"/>
      <c r="R53" s="15"/>
      <c r="S53" s="15"/>
      <c r="T53" s="15"/>
      <c r="U53" s="15"/>
      <c r="V53" s="15"/>
      <c r="W53" s="15"/>
    </row>
    <row r="54" spans="2:23" x14ac:dyDescent="0.2">
      <c r="B54" s="15"/>
      <c r="C54" s="15"/>
      <c r="D54" s="15"/>
      <c r="E54" s="15"/>
      <c r="F54" s="15"/>
      <c r="G54" s="15"/>
      <c r="H54" s="15"/>
      <c r="I54" s="15"/>
      <c r="J54" s="15"/>
      <c r="K54" s="15"/>
      <c r="L54" s="15"/>
      <c r="M54" s="15"/>
      <c r="N54" s="15"/>
      <c r="O54" s="15"/>
      <c r="P54" s="15"/>
      <c r="Q54" s="15"/>
      <c r="R54" s="15"/>
      <c r="S54" s="15"/>
      <c r="T54" s="15"/>
      <c r="U54" s="15"/>
      <c r="V54" s="15"/>
      <c r="W54" s="15"/>
    </row>
    <row r="55" spans="2:23" x14ac:dyDescent="0.2">
      <c r="B55" s="15"/>
      <c r="C55" s="15"/>
      <c r="D55" s="15"/>
      <c r="E55" s="150">
        <f>E33</f>
        <v>22.547296967981197</v>
      </c>
      <c r="F55" s="152">
        <v>8</v>
      </c>
      <c r="G55" s="152">
        <v>9.5</v>
      </c>
      <c r="H55" s="152">
        <v>11</v>
      </c>
      <c r="I55" s="152">
        <v>12.5</v>
      </c>
      <c r="J55" s="152">
        <v>14</v>
      </c>
      <c r="K55" s="15"/>
      <c r="L55" s="15"/>
      <c r="M55" s="15"/>
      <c r="N55" s="15"/>
      <c r="O55" s="15"/>
      <c r="P55" s="15"/>
      <c r="Q55" s="15"/>
      <c r="R55" s="15"/>
      <c r="S55" s="15"/>
      <c r="T55" s="15"/>
      <c r="U55" s="15"/>
      <c r="V55" s="15"/>
      <c r="W55" s="15"/>
    </row>
    <row r="56" spans="2:23" x14ac:dyDescent="0.2">
      <c r="B56" s="15"/>
      <c r="C56" s="15"/>
      <c r="D56" s="15"/>
      <c r="E56" s="163">
        <v>100</v>
      </c>
      <c r="F56" s="132">
        <f t="shared" ref="F56:J62" si="0">(($E$22-$E$21+$E56)*F$55+($E$26+$E$27))/$E$29-$E$31</f>
        <v>5.8636653176480564</v>
      </c>
      <c r="G56" s="132">
        <f t="shared" si="0"/>
        <v>14.418830040149487</v>
      </c>
      <c r="H56" s="132">
        <f t="shared" si="0"/>
        <v>22.973994762650918</v>
      </c>
      <c r="I56" s="132">
        <f t="shared" si="0"/>
        <v>31.529159485152348</v>
      </c>
      <c r="J56" s="132">
        <f t="shared" si="0"/>
        <v>40.084324207653779</v>
      </c>
      <c r="K56" s="15"/>
      <c r="L56" s="15"/>
      <c r="M56" s="15"/>
      <c r="N56" s="15"/>
      <c r="O56" s="15"/>
      <c r="P56" s="15"/>
      <c r="Q56" s="15"/>
      <c r="R56" s="15"/>
      <c r="S56" s="15"/>
      <c r="T56" s="15"/>
      <c r="U56" s="15"/>
      <c r="V56" s="15"/>
      <c r="W56" s="15"/>
    </row>
    <row r="57" spans="2:23" x14ac:dyDescent="0.2">
      <c r="B57" s="15"/>
      <c r="C57" s="137" t="s">
        <v>737</v>
      </c>
      <c r="D57" s="15"/>
      <c r="E57" s="163">
        <v>75</v>
      </c>
      <c r="F57" s="132">
        <f t="shared" si="0"/>
        <v>4.8479422184855139</v>
      </c>
      <c r="G57" s="132">
        <f t="shared" si="0"/>
        <v>13.21265885989397</v>
      </c>
      <c r="H57" s="132">
        <f t="shared" si="0"/>
        <v>21.57737550130242</v>
      </c>
      <c r="I57" s="132">
        <f t="shared" si="0"/>
        <v>29.942092142710877</v>
      </c>
      <c r="J57" s="132">
        <f t="shared" si="0"/>
        <v>38.306808784119326</v>
      </c>
      <c r="K57" s="15"/>
      <c r="L57" s="15"/>
      <c r="M57" s="15"/>
      <c r="N57" s="15"/>
      <c r="O57" s="15"/>
      <c r="P57" s="15"/>
      <c r="Q57" s="15"/>
      <c r="R57" s="15"/>
      <c r="S57" s="15"/>
      <c r="T57" s="15"/>
      <c r="U57" s="15"/>
      <c r="V57" s="15"/>
      <c r="W57" s="15"/>
    </row>
    <row r="58" spans="2:23" x14ac:dyDescent="0.2">
      <c r="B58" s="15"/>
      <c r="C58" s="15"/>
      <c r="D58" s="15"/>
      <c r="E58" s="163">
        <v>50</v>
      </c>
      <c r="F58" s="132">
        <f t="shared" si="0"/>
        <v>3.8322191193229713</v>
      </c>
      <c r="G58" s="132">
        <f t="shared" si="0"/>
        <v>12.006487679638447</v>
      </c>
      <c r="H58" s="132">
        <f t="shared" si="0"/>
        <v>20.180756239953922</v>
      </c>
      <c r="I58" s="132">
        <f t="shared" si="0"/>
        <v>28.355024800269398</v>
      </c>
      <c r="J58" s="132">
        <f t="shared" si="0"/>
        <v>36.529293360584873</v>
      </c>
      <c r="K58" s="15"/>
      <c r="L58" s="15"/>
      <c r="M58" s="15"/>
      <c r="N58" s="15"/>
      <c r="O58" s="15"/>
      <c r="P58" s="15"/>
      <c r="Q58" s="15"/>
      <c r="R58" s="15"/>
      <c r="S58" s="15"/>
      <c r="T58" s="15"/>
      <c r="U58" s="15"/>
      <c r="V58" s="15"/>
      <c r="W58" s="15"/>
    </row>
    <row r="59" spans="2:23" x14ac:dyDescent="0.2">
      <c r="B59" s="15"/>
      <c r="C59" s="15"/>
      <c r="D59" s="15"/>
      <c r="E59" s="163">
        <v>25</v>
      </c>
      <c r="F59" s="132">
        <f t="shared" si="0"/>
        <v>2.8164960201604288</v>
      </c>
      <c r="G59" s="132">
        <f t="shared" si="0"/>
        <v>10.80031649938293</v>
      </c>
      <c r="H59" s="132">
        <f t="shared" si="0"/>
        <v>18.784136978605424</v>
      </c>
      <c r="I59" s="132">
        <f t="shared" si="0"/>
        <v>26.767957457827926</v>
      </c>
      <c r="J59" s="132">
        <f t="shared" si="0"/>
        <v>34.75177793705042</v>
      </c>
      <c r="K59" s="15"/>
      <c r="L59" s="15"/>
      <c r="M59" s="15"/>
      <c r="N59" s="15"/>
      <c r="O59" s="15"/>
      <c r="P59" s="15"/>
      <c r="Q59" s="15"/>
      <c r="R59" s="15"/>
      <c r="S59" s="15"/>
      <c r="T59" s="15"/>
      <c r="U59" s="15"/>
      <c r="V59" s="15"/>
      <c r="W59" s="15"/>
    </row>
    <row r="60" spans="2:23" x14ac:dyDescent="0.2">
      <c r="B60" s="15"/>
      <c r="C60" s="15"/>
      <c r="D60" s="15"/>
      <c r="E60" s="163">
        <v>0</v>
      </c>
      <c r="F60" s="132">
        <f t="shared" si="0"/>
        <v>1.8007729209978791</v>
      </c>
      <c r="G60" s="132">
        <f t="shared" si="0"/>
        <v>9.5941453191274064</v>
      </c>
      <c r="H60" s="132">
        <f t="shared" si="0"/>
        <v>17.387517717256927</v>
      </c>
      <c r="I60" s="132">
        <f t="shared" si="0"/>
        <v>25.180890115386447</v>
      </c>
      <c r="J60" s="132">
        <f t="shared" si="0"/>
        <v>32.974262513515981</v>
      </c>
      <c r="K60" s="15"/>
      <c r="L60" s="15"/>
      <c r="M60" s="15"/>
      <c r="N60" s="15"/>
      <c r="O60" s="15"/>
      <c r="P60" s="15"/>
      <c r="Q60" s="15"/>
      <c r="R60" s="15"/>
      <c r="S60" s="15"/>
      <c r="T60" s="15"/>
      <c r="U60" s="15"/>
      <c r="V60" s="15"/>
      <c r="W60" s="15"/>
    </row>
    <row r="61" spans="2:23" x14ac:dyDescent="0.2">
      <c r="B61" s="15"/>
      <c r="C61" s="15"/>
      <c r="D61" s="15"/>
      <c r="E61" s="163">
        <v>-25</v>
      </c>
      <c r="F61" s="132">
        <f t="shared" si="0"/>
        <v>0.78504982183533656</v>
      </c>
      <c r="G61" s="132">
        <f t="shared" si="0"/>
        <v>8.3879741388718898</v>
      </c>
      <c r="H61" s="132">
        <f t="shared" si="0"/>
        <v>15.990898455908429</v>
      </c>
      <c r="I61" s="132">
        <f t="shared" si="0"/>
        <v>23.593822772944975</v>
      </c>
      <c r="J61" s="132">
        <f t="shared" si="0"/>
        <v>31.196747089981528</v>
      </c>
      <c r="K61" s="15"/>
      <c r="L61" s="15"/>
      <c r="M61" s="15"/>
      <c r="N61" s="15"/>
      <c r="O61" s="15"/>
      <c r="P61" s="15"/>
      <c r="Q61" s="15"/>
      <c r="R61" s="15"/>
      <c r="S61" s="15"/>
      <c r="T61" s="15"/>
      <c r="U61" s="15"/>
      <c r="V61" s="15"/>
      <c r="W61" s="15"/>
    </row>
    <row r="62" spans="2:23" x14ac:dyDescent="0.2">
      <c r="B62" s="15"/>
      <c r="C62" s="15"/>
      <c r="D62" s="15"/>
      <c r="E62" s="163">
        <v>-50</v>
      </c>
      <c r="F62" s="132">
        <f t="shared" si="0"/>
        <v>-0.23067327732720599</v>
      </c>
      <c r="G62" s="132">
        <f t="shared" si="0"/>
        <v>7.1818029586163661</v>
      </c>
      <c r="H62" s="132">
        <f t="shared" si="0"/>
        <v>14.594279194559931</v>
      </c>
      <c r="I62" s="132">
        <f t="shared" si="0"/>
        <v>22.006755430503503</v>
      </c>
      <c r="J62" s="132">
        <f t="shared" si="0"/>
        <v>29.419231666447075</v>
      </c>
      <c r="K62" s="15"/>
      <c r="L62" s="15"/>
      <c r="M62" s="15"/>
      <c r="N62" s="15"/>
      <c r="O62" s="15"/>
      <c r="P62" s="15"/>
      <c r="Q62" s="15"/>
      <c r="R62" s="15"/>
      <c r="S62" s="15"/>
      <c r="T62" s="15"/>
      <c r="U62" s="15"/>
      <c r="V62" s="15"/>
      <c r="W62" s="15"/>
    </row>
    <row r="63" spans="2:23" x14ac:dyDescent="0.2">
      <c r="B63" s="15"/>
      <c r="C63" s="15"/>
      <c r="D63" s="15"/>
      <c r="E63" s="15"/>
      <c r="F63" s="15"/>
      <c r="G63" s="15"/>
      <c r="H63" s="15"/>
      <c r="I63" s="15"/>
      <c r="J63" s="15"/>
      <c r="K63" s="15"/>
      <c r="L63" s="15"/>
      <c r="M63" s="15"/>
      <c r="N63" s="15"/>
      <c r="O63" s="15"/>
      <c r="P63" s="15"/>
      <c r="Q63" s="15"/>
      <c r="R63" s="15"/>
      <c r="S63" s="15"/>
      <c r="T63" s="15"/>
      <c r="U63" s="15"/>
      <c r="V63" s="15"/>
      <c r="W63"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Cover</vt:lpstr>
      <vt:lpstr>Merger_Model</vt:lpstr>
      <vt:lpstr>Acquirer</vt:lpstr>
      <vt:lpstr>Target</vt:lpstr>
      <vt:lpstr>Synergies</vt:lpstr>
      <vt:lpstr>Combined_BS</vt:lpstr>
      <vt:lpstr>DCF_IRR</vt:lpstr>
      <vt:lpstr>WACC</vt:lpstr>
      <vt:lpstr>Pub_Comps</vt:lpstr>
      <vt:lpstr>MA_Comps</vt:lpstr>
      <vt:lpstr>Contrib</vt:lpstr>
      <vt:lpstr>Value_Creation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lambor</dc:creator>
  <cp:lastModifiedBy>prasad lambor</cp:lastModifiedBy>
  <dcterms:created xsi:type="dcterms:W3CDTF">2026-07-31T01:31:34Z</dcterms:created>
  <dcterms:modified xsi:type="dcterms:W3CDTF">2026-08-02T08:19:26Z</dcterms:modified>
</cp:coreProperties>
</file>