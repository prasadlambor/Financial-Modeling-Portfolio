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sadlambor/Downloads/"/>
    </mc:Choice>
  </mc:AlternateContent>
  <xr:revisionPtr revIDLastSave="0" documentId="13_ncr:1_{4D242A7E-0B27-F643-941D-D3CD40F7A474}" xr6:coauthVersionLast="47" xr6:coauthVersionMax="47" xr10:uidLastSave="{00000000-0000-0000-0000-000000000000}"/>
  <bookViews>
    <workbookView xWindow="18700" yWindow="-21600" windowWidth="38400" windowHeight="21600" xr2:uid="{F8D20A20-E17A-8D46-9EF1-3707C68C35AD}"/>
  </bookViews>
  <sheets>
    <sheet name="Model Notes" sheetId="9" r:id="rId1"/>
    <sheet name="SOFR Forward Curve" sheetId="7" r:id="rId2"/>
    <sheet name="Inputs_TI" sheetId="2" r:id="rId3"/>
    <sheet name="Inputs_TD" sheetId="4" r:id="rId4"/>
    <sheet name="Calculations" sheetId="5" r:id="rId5"/>
    <sheet name="Output" sheetId="6" r:id="rId6"/>
  </sheets>
  <definedNames>
    <definedName name="COD" localSheetId="1">#REF!</definedName>
    <definedName name="COD">Inputs_TI!$F$5</definedName>
    <definedName name="Financial_Close" localSheetId="1">#REF!</definedName>
    <definedName name="Financial_Close">Inputs_TI!$F$4</definedName>
    <definedName name="Financial_End">Inputs_TI!$F$4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6" l="1"/>
  <c r="E7" i="6"/>
  <c r="E6" i="6"/>
  <c r="C9" i="6"/>
  <c r="G110" i="5"/>
  <c r="K103" i="5"/>
  <c r="K91" i="5"/>
  <c r="G87" i="5"/>
  <c r="G81" i="5"/>
  <c r="G80" i="5"/>
  <c r="G79" i="5"/>
  <c r="G74" i="5"/>
  <c r="G73" i="5"/>
  <c r="H73" i="5" s="1"/>
  <c r="D74" i="5"/>
  <c r="G70" i="5"/>
  <c r="G52" i="5"/>
  <c r="G35" i="5"/>
  <c r="G36" i="5"/>
  <c r="G37" i="5"/>
  <c r="G34" i="5"/>
  <c r="D35" i="5"/>
  <c r="D36" i="5"/>
  <c r="D37" i="5"/>
  <c r="D34" i="5"/>
  <c r="G30" i="5"/>
  <c r="H27" i="5"/>
  <c r="G27" i="5"/>
  <c r="G22" i="5"/>
  <c r="H21" i="5"/>
  <c r="G21" i="5"/>
  <c r="L17" i="5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L16" i="5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G17" i="5"/>
  <c r="G16" i="5"/>
  <c r="G11" i="5"/>
  <c r="H11" i="5" s="1"/>
  <c r="G12" i="5"/>
  <c r="H12" i="5" s="1"/>
  <c r="G13" i="5"/>
  <c r="H13" i="5" s="1"/>
  <c r="G10" i="5"/>
  <c r="H10" i="5" s="1"/>
  <c r="H9" i="5"/>
  <c r="K6" i="5"/>
  <c r="F11" i="2"/>
  <c r="L5" i="5" l="1"/>
  <c r="K10" i="5"/>
  <c r="K73" i="5"/>
  <c r="K79" i="5" s="1"/>
  <c r="K13" i="5"/>
  <c r="K11" i="5"/>
  <c r="K30" i="5" s="1"/>
  <c r="K31" i="5" s="1"/>
  <c r="K4" i="5"/>
  <c r="K78" i="5" s="1"/>
  <c r="K12" i="5"/>
  <c r="K9" i="5"/>
  <c r="K27" i="5" s="1"/>
  <c r="K80" i="5" l="1"/>
  <c r="K81" i="5" s="1"/>
  <c r="K37" i="5"/>
  <c r="K74" i="5"/>
  <c r="K35" i="5"/>
  <c r="K36" i="5"/>
  <c r="K34" i="5"/>
  <c r="K38" i="5" s="1"/>
  <c r="K40" i="5" s="1"/>
  <c r="K21" i="5"/>
  <c r="L6" i="5"/>
  <c r="L13" i="5" s="1"/>
  <c r="L10" i="5" l="1"/>
  <c r="L11" i="5"/>
  <c r="L12" i="5"/>
  <c r="K83" i="5"/>
  <c r="K97" i="5"/>
  <c r="K68" i="5" s="1"/>
  <c r="K60" i="5"/>
  <c r="K65" i="5"/>
  <c r="K42" i="5"/>
  <c r="L21" i="5"/>
  <c r="L22" i="5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L36" i="5"/>
  <c r="L34" i="5"/>
  <c r="L35" i="5"/>
  <c r="M5" i="5"/>
  <c r="L4" i="5"/>
  <c r="L78" i="5" s="1"/>
  <c r="L9" i="5"/>
  <c r="L27" i="5" s="1"/>
  <c r="L73" i="5"/>
  <c r="L79" i="5" s="1"/>
  <c r="L80" i="5" l="1"/>
  <c r="L81" i="5" s="1"/>
  <c r="K84" i="5"/>
  <c r="L83" i="5"/>
  <c r="L74" i="5"/>
  <c r="L23" i="5"/>
  <c r="M6" i="5"/>
  <c r="M13" i="5" s="1"/>
  <c r="L84" i="5" l="1"/>
  <c r="N5" i="5"/>
  <c r="M4" i="5"/>
  <c r="M78" i="5" s="1"/>
  <c r="M9" i="5"/>
  <c r="L30" i="5"/>
  <c r="M73" i="5"/>
  <c r="M79" i="5" s="1"/>
  <c r="M80" i="5" s="1"/>
  <c r="M81" i="5" s="1"/>
  <c r="M83" i="5" s="1"/>
  <c r="M12" i="5"/>
  <c r="M10" i="5"/>
  <c r="M11" i="5"/>
  <c r="M84" i="5" l="1"/>
  <c r="M34" i="5"/>
  <c r="M36" i="5"/>
  <c r="M35" i="5"/>
  <c r="M21" i="5"/>
  <c r="M74" i="5"/>
  <c r="L31" i="5"/>
  <c r="M27" i="5"/>
  <c r="N6" i="5"/>
  <c r="N10" i="5" s="1"/>
  <c r="N73" i="5" l="1"/>
  <c r="L37" i="5"/>
  <c r="L38" i="5" s="1"/>
  <c r="L40" i="5" s="1"/>
  <c r="O5" i="5"/>
  <c r="N4" i="5"/>
  <c r="N78" i="5" s="1"/>
  <c r="N9" i="5"/>
  <c r="N34" i="5"/>
  <c r="N36" i="5"/>
  <c r="N35" i="5"/>
  <c r="N21" i="5"/>
  <c r="N23" i="5" s="1"/>
  <c r="N12" i="5"/>
  <c r="N13" i="5"/>
  <c r="M23" i="5"/>
  <c r="N11" i="5"/>
  <c r="N74" i="5" l="1"/>
  <c r="N79" i="5"/>
  <c r="N80" i="5" s="1"/>
  <c r="N81" i="5" s="1"/>
  <c r="N83" i="5" s="1"/>
  <c r="L65" i="5"/>
  <c r="L60" i="5"/>
  <c r="L42" i="5"/>
  <c r="N27" i="5"/>
  <c r="O6" i="5"/>
  <c r="M30" i="5"/>
  <c r="N30" i="5"/>
  <c r="N31" i="5" s="1"/>
  <c r="N84" i="5" l="1"/>
  <c r="N37" i="5"/>
  <c r="N38" i="5" s="1"/>
  <c r="N40" i="5" s="1"/>
  <c r="P5" i="5"/>
  <c r="O4" i="5"/>
  <c r="O78" i="5" s="1"/>
  <c r="O9" i="5"/>
  <c r="O11" i="5"/>
  <c r="M31" i="5"/>
  <c r="O73" i="5"/>
  <c r="O79" i="5" s="1"/>
  <c r="O12" i="5"/>
  <c r="O13" i="5"/>
  <c r="O10" i="5"/>
  <c r="O80" i="5" l="1"/>
  <c r="O81" i="5" s="1"/>
  <c r="O83" i="5" s="1"/>
  <c r="N60" i="5"/>
  <c r="N65" i="5"/>
  <c r="N42" i="5"/>
  <c r="O34" i="5"/>
  <c r="O36" i="5"/>
  <c r="O35" i="5"/>
  <c r="O21" i="5"/>
  <c r="O23" i="5" s="1"/>
  <c r="O27" i="5"/>
  <c r="O74" i="5"/>
  <c r="P6" i="5"/>
  <c r="P10" i="5" s="1"/>
  <c r="P73" i="5"/>
  <c r="M37" i="5"/>
  <c r="M38" i="5" s="1"/>
  <c r="M40" i="5" s="1"/>
  <c r="P74" i="5" l="1"/>
  <c r="P79" i="5"/>
  <c r="P13" i="5"/>
  <c r="P11" i="5"/>
  <c r="O84" i="5"/>
  <c r="P35" i="5"/>
  <c r="P21" i="5"/>
  <c r="P23" i="5" s="1"/>
  <c r="P30" i="5" s="1"/>
  <c r="P31" i="5" s="1"/>
  <c r="P34" i="5"/>
  <c r="P36" i="5"/>
  <c r="M65" i="5"/>
  <c r="M60" i="5"/>
  <c r="M42" i="5"/>
  <c r="P12" i="5"/>
  <c r="O30" i="5"/>
  <c r="Q5" i="5"/>
  <c r="P4" i="5"/>
  <c r="P78" i="5" s="1"/>
  <c r="P9" i="5"/>
  <c r="P80" i="5" l="1"/>
  <c r="P81" i="5" s="1"/>
  <c r="P83" i="5" s="1"/>
  <c r="P27" i="5"/>
  <c r="Q6" i="5"/>
  <c r="Q11" i="5" s="1"/>
  <c r="Q13" i="5"/>
  <c r="P37" i="5"/>
  <c r="P38" i="5"/>
  <c r="P40" i="5" s="1"/>
  <c r="O31" i="5"/>
  <c r="Q12" i="5" l="1"/>
  <c r="Q73" i="5"/>
  <c r="Q10" i="5"/>
  <c r="Q21" i="5" s="1"/>
  <c r="Q23" i="5" s="1"/>
  <c r="P84" i="5"/>
  <c r="O37" i="5"/>
  <c r="O38" i="5" s="1"/>
  <c r="O40" i="5" s="1"/>
  <c r="P60" i="5"/>
  <c r="P65" i="5"/>
  <c r="Q35" i="5"/>
  <c r="Q34" i="5"/>
  <c r="Q36" i="5"/>
  <c r="R5" i="5"/>
  <c r="Q4" i="5"/>
  <c r="Q78" i="5" s="1"/>
  <c r="Q9" i="5"/>
  <c r="P42" i="5"/>
  <c r="Q74" i="5" l="1"/>
  <c r="Q79" i="5"/>
  <c r="Q80" i="5" s="1"/>
  <c r="Q81" i="5" s="1"/>
  <c r="Q83" i="5" s="1"/>
  <c r="Q30" i="5"/>
  <c r="Q27" i="5"/>
  <c r="R6" i="5"/>
  <c r="R73" i="5" s="1"/>
  <c r="O60" i="5"/>
  <c r="O65" i="5"/>
  <c r="O42" i="5"/>
  <c r="R74" i="5" l="1"/>
  <c r="R79" i="5"/>
  <c r="Q84" i="5"/>
  <c r="R11" i="5"/>
  <c r="R12" i="5"/>
  <c r="S5" i="5"/>
  <c r="R9" i="5"/>
  <c r="R4" i="5"/>
  <c r="R78" i="5" s="1"/>
  <c r="R10" i="5"/>
  <c r="R13" i="5"/>
  <c r="Q31" i="5"/>
  <c r="R80" i="5" l="1"/>
  <c r="R81" i="5" s="1"/>
  <c r="R83" i="5" s="1"/>
  <c r="R27" i="5"/>
  <c r="S6" i="5"/>
  <c r="S10" i="5" s="1"/>
  <c r="S12" i="5"/>
  <c r="S73" i="5"/>
  <c r="Q37" i="5"/>
  <c r="Q38" i="5" s="1"/>
  <c r="Q40" i="5" s="1"/>
  <c r="R35" i="5"/>
  <c r="R21" i="5"/>
  <c r="R23" i="5" s="1"/>
  <c r="R30" i="5" s="1"/>
  <c r="R31" i="5" s="1"/>
  <c r="R34" i="5"/>
  <c r="R36" i="5"/>
  <c r="S13" i="5" l="1"/>
  <c r="S74" i="5"/>
  <c r="S79" i="5"/>
  <c r="S80" i="5" s="1"/>
  <c r="S81" i="5" s="1"/>
  <c r="S83" i="5"/>
  <c r="R84" i="5"/>
  <c r="Q60" i="5"/>
  <c r="Q65" i="5"/>
  <c r="Q42" i="5"/>
  <c r="S35" i="5"/>
  <c r="S36" i="5"/>
  <c r="S21" i="5"/>
  <c r="S23" i="5" s="1"/>
  <c r="S34" i="5"/>
  <c r="T5" i="5"/>
  <c r="S4" i="5"/>
  <c r="S78" i="5" s="1"/>
  <c r="S9" i="5"/>
  <c r="S27" i="5" s="1"/>
  <c r="S11" i="5"/>
  <c r="R37" i="5"/>
  <c r="S84" i="5" l="1"/>
  <c r="S30" i="5"/>
  <c r="S31" i="5" s="1"/>
  <c r="S37" i="5"/>
  <c r="S38" i="5" s="1"/>
  <c r="S40" i="5" s="1"/>
  <c r="T6" i="5"/>
  <c r="T12" i="5" s="1"/>
  <c r="R38" i="5"/>
  <c r="R40" i="5" s="1"/>
  <c r="S60" i="5" l="1"/>
  <c r="S65" i="5"/>
  <c r="S42" i="5"/>
  <c r="R65" i="5"/>
  <c r="R60" i="5"/>
  <c r="R42" i="5"/>
  <c r="U5" i="5"/>
  <c r="T9" i="5"/>
  <c r="T27" i="5" s="1"/>
  <c r="T4" i="5"/>
  <c r="T78" i="5" s="1"/>
  <c r="T73" i="5"/>
  <c r="T11" i="5"/>
  <c r="T10" i="5"/>
  <c r="T13" i="5"/>
  <c r="T74" i="5" l="1"/>
  <c r="T79" i="5"/>
  <c r="T80" i="5" s="1"/>
  <c r="T81" i="5" s="1"/>
  <c r="T83" i="5" s="1"/>
  <c r="U6" i="5"/>
  <c r="U13" i="5"/>
  <c r="U12" i="5"/>
  <c r="U10" i="5"/>
  <c r="U11" i="5"/>
  <c r="U73" i="5"/>
  <c r="T35" i="5"/>
  <c r="T36" i="5"/>
  <c r="T34" i="5"/>
  <c r="T21" i="5"/>
  <c r="T23" i="5" s="1"/>
  <c r="T30" i="5" s="1"/>
  <c r="T31" i="5" s="1"/>
  <c r="U74" i="5" l="1"/>
  <c r="U79" i="5"/>
  <c r="T84" i="5"/>
  <c r="T37" i="5"/>
  <c r="T38" i="5" s="1"/>
  <c r="T40" i="5" s="1"/>
  <c r="U21" i="5"/>
  <c r="U23" i="5" s="1"/>
  <c r="U30" i="5" s="1"/>
  <c r="U31" i="5" s="1"/>
  <c r="U35" i="5"/>
  <c r="U36" i="5"/>
  <c r="U34" i="5"/>
  <c r="V5" i="5"/>
  <c r="U4" i="5"/>
  <c r="U78" i="5" s="1"/>
  <c r="U80" i="5" s="1"/>
  <c r="U81" i="5" s="1"/>
  <c r="U83" i="5" s="1"/>
  <c r="U9" i="5"/>
  <c r="U27" i="5" s="1"/>
  <c r="U84" i="5" l="1"/>
  <c r="T65" i="5"/>
  <c r="T60" i="5"/>
  <c r="T42" i="5"/>
  <c r="U38" i="5"/>
  <c r="U40" i="5" s="1"/>
  <c r="V6" i="5"/>
  <c r="V13" i="5" s="1"/>
  <c r="V11" i="5"/>
  <c r="U37" i="5"/>
  <c r="V12" i="5" l="1"/>
  <c r="U65" i="5"/>
  <c r="U60" i="5"/>
  <c r="U42" i="5"/>
  <c r="W5" i="5"/>
  <c r="V4" i="5"/>
  <c r="V78" i="5" s="1"/>
  <c r="V9" i="5"/>
  <c r="V27" i="5" s="1"/>
  <c r="V73" i="5"/>
  <c r="V10" i="5"/>
  <c r="V74" i="5" l="1"/>
  <c r="V79" i="5"/>
  <c r="V80" i="5" s="1"/>
  <c r="V81" i="5" s="1"/>
  <c r="V83" i="5" s="1"/>
  <c r="V21" i="5"/>
  <c r="V23" i="5" s="1"/>
  <c r="V30" i="5" s="1"/>
  <c r="V31" i="5" s="1"/>
  <c r="V36" i="5"/>
  <c r="V35" i="5"/>
  <c r="V34" i="5"/>
  <c r="W6" i="5"/>
  <c r="W11" i="5" s="1"/>
  <c r="W12" i="5"/>
  <c r="V84" i="5" l="1"/>
  <c r="W10" i="5"/>
  <c r="W36" i="5" s="1"/>
  <c r="W34" i="5"/>
  <c r="X5" i="5"/>
  <c r="W4" i="5"/>
  <c r="W78" i="5" s="1"/>
  <c r="W9" i="5"/>
  <c r="W27" i="5" s="1"/>
  <c r="V38" i="5"/>
  <c r="V40" i="5"/>
  <c r="V37" i="5"/>
  <c r="W73" i="5"/>
  <c r="W13" i="5"/>
  <c r="W35" i="5" l="1"/>
  <c r="W21" i="5"/>
  <c r="W23" i="5" s="1"/>
  <c r="W30" i="5" s="1"/>
  <c r="W31" i="5" s="1"/>
  <c r="W37" i="5" s="1"/>
  <c r="W38" i="5" s="1"/>
  <c r="W40" i="5" s="1"/>
  <c r="W74" i="5"/>
  <c r="W79" i="5"/>
  <c r="W80" i="5" s="1"/>
  <c r="W81" i="5" s="1"/>
  <c r="W83" i="5" s="1"/>
  <c r="V65" i="5"/>
  <c r="V60" i="5"/>
  <c r="V42" i="5"/>
  <c r="X6" i="5"/>
  <c r="X11" i="5" s="1"/>
  <c r="W84" i="5" l="1"/>
  <c r="W65" i="5"/>
  <c r="W60" i="5"/>
  <c r="W42" i="5"/>
  <c r="Y5" i="5"/>
  <c r="X4" i="5"/>
  <c r="X78" i="5" s="1"/>
  <c r="X9" i="5"/>
  <c r="X27" i="5" s="1"/>
  <c r="X73" i="5"/>
  <c r="X13" i="5"/>
  <c r="X10" i="5"/>
  <c r="X12" i="5"/>
  <c r="X74" i="5" l="1"/>
  <c r="X79" i="5"/>
  <c r="X80" i="5" s="1"/>
  <c r="X81" i="5" s="1"/>
  <c r="X83" i="5" s="1"/>
  <c r="Y6" i="5"/>
  <c r="Y11" i="5" s="1"/>
  <c r="Y12" i="5"/>
  <c r="Y13" i="5"/>
  <c r="Y73" i="5"/>
  <c r="X34" i="5"/>
  <c r="X36" i="5"/>
  <c r="X21" i="5"/>
  <c r="X23" i="5" s="1"/>
  <c r="X30" i="5" s="1"/>
  <c r="X31" i="5" s="1"/>
  <c r="X35" i="5"/>
  <c r="Y74" i="5" l="1"/>
  <c r="Y79" i="5"/>
  <c r="Y10" i="5"/>
  <c r="Y35" i="5" s="1"/>
  <c r="X84" i="5"/>
  <c r="Y34" i="5"/>
  <c r="Y36" i="5"/>
  <c r="Y21" i="5"/>
  <c r="Y23" i="5" s="1"/>
  <c r="Y30" i="5" s="1"/>
  <c r="Y31" i="5" s="1"/>
  <c r="X37" i="5"/>
  <c r="X38" i="5" s="1"/>
  <c r="X40" i="5" s="1"/>
  <c r="Z5" i="5"/>
  <c r="Y4" i="5"/>
  <c r="Y78" i="5" s="1"/>
  <c r="Y9" i="5"/>
  <c r="Y27" i="5" s="1"/>
  <c r="Y80" i="5" l="1"/>
  <c r="Y81" i="5" s="1"/>
  <c r="Y83" i="5" s="1"/>
  <c r="X65" i="5"/>
  <c r="X60" i="5"/>
  <c r="X42" i="5"/>
  <c r="Z6" i="5"/>
  <c r="Z12" i="5" s="1"/>
  <c r="Y37" i="5"/>
  <c r="Y38" i="5" s="1"/>
  <c r="Y40" i="5" s="1"/>
  <c r="Z11" i="5" l="1"/>
  <c r="Z13" i="5"/>
  <c r="Z10" i="5"/>
  <c r="Z34" i="5" s="1"/>
  <c r="Z73" i="5"/>
  <c r="Y84" i="5"/>
  <c r="Y65" i="5"/>
  <c r="Y60" i="5"/>
  <c r="Y42" i="5"/>
  <c r="Z36" i="5"/>
  <c r="Z21" i="5"/>
  <c r="Z23" i="5" s="1"/>
  <c r="Z30" i="5" s="1"/>
  <c r="Z31" i="5" s="1"/>
  <c r="AA5" i="5"/>
  <c r="Z4" i="5"/>
  <c r="Z78" i="5" s="1"/>
  <c r="Z9" i="5"/>
  <c r="Z27" i="5" s="1"/>
  <c r="Z74" i="5" l="1"/>
  <c r="Z79" i="5"/>
  <c r="Z80" i="5" s="1"/>
  <c r="Z81" i="5" s="1"/>
  <c r="Z83" i="5" s="1"/>
  <c r="Z35" i="5"/>
  <c r="AA6" i="5"/>
  <c r="AA73" i="5" s="1"/>
  <c r="AA11" i="5"/>
  <c r="Z37" i="5"/>
  <c r="Z38" i="5"/>
  <c r="Z40" i="5" s="1"/>
  <c r="AA74" i="5" l="1"/>
  <c r="AA79" i="5"/>
  <c r="Z84" i="5"/>
  <c r="AA13" i="5"/>
  <c r="AA10" i="5"/>
  <c r="AA34" i="5" s="1"/>
  <c r="AA12" i="5"/>
  <c r="Z65" i="5"/>
  <c r="Z60" i="5"/>
  <c r="Z42" i="5"/>
  <c r="AB5" i="5"/>
  <c r="AA4" i="5"/>
  <c r="AA78" i="5" s="1"/>
  <c r="AA80" i="5" s="1"/>
  <c r="AA81" i="5" s="1"/>
  <c r="AA83" i="5" s="1"/>
  <c r="AA9" i="5"/>
  <c r="AA27" i="5" s="1"/>
  <c r="AA84" i="5" l="1"/>
  <c r="AA35" i="5"/>
  <c r="AA36" i="5"/>
  <c r="AA21" i="5"/>
  <c r="AA23" i="5" s="1"/>
  <c r="AA30" i="5" s="1"/>
  <c r="AA31" i="5" s="1"/>
  <c r="AA37" i="5" s="1"/>
  <c r="AA38" i="5" s="1"/>
  <c r="AA40" i="5" s="1"/>
  <c r="AB6" i="5"/>
  <c r="AB73" i="5" s="1"/>
  <c r="AB12" i="5"/>
  <c r="AB13" i="5"/>
  <c r="AB11" i="5"/>
  <c r="AB10" i="5"/>
  <c r="AB74" i="5" l="1"/>
  <c r="AB79" i="5"/>
  <c r="AA65" i="5"/>
  <c r="AA60" i="5"/>
  <c r="AA42" i="5"/>
  <c r="AB35" i="5"/>
  <c r="AB21" i="5"/>
  <c r="AB23" i="5" s="1"/>
  <c r="AB30" i="5" s="1"/>
  <c r="AB31" i="5" s="1"/>
  <c r="AB34" i="5"/>
  <c r="AB36" i="5"/>
  <c r="AC5" i="5"/>
  <c r="AB4" i="5"/>
  <c r="AB78" i="5" s="1"/>
  <c r="AB80" i="5" s="1"/>
  <c r="AB81" i="5" s="1"/>
  <c r="AB83" i="5" s="1"/>
  <c r="AB9" i="5"/>
  <c r="AB27" i="5" s="1"/>
  <c r="AB84" i="5" l="1"/>
  <c r="AB37" i="5"/>
  <c r="AC6" i="5"/>
  <c r="AC11" i="5" s="1"/>
  <c r="AC13" i="5"/>
  <c r="AC10" i="5"/>
  <c r="AC73" i="5"/>
  <c r="AB38" i="5"/>
  <c r="AB40" i="5" s="1"/>
  <c r="AC12" i="5" l="1"/>
  <c r="AC74" i="5"/>
  <c r="AC79" i="5"/>
  <c r="AB65" i="5"/>
  <c r="AB60" i="5"/>
  <c r="AB42" i="5"/>
  <c r="AC35" i="5"/>
  <c r="AC21" i="5"/>
  <c r="AC23" i="5" s="1"/>
  <c r="AC30" i="5" s="1"/>
  <c r="AC31" i="5" s="1"/>
  <c r="AC34" i="5"/>
  <c r="AC36" i="5"/>
  <c r="AD5" i="5"/>
  <c r="AC4" i="5"/>
  <c r="AC78" i="5" s="1"/>
  <c r="AC80" i="5" s="1"/>
  <c r="AC81" i="5" s="1"/>
  <c r="AC83" i="5" s="1"/>
  <c r="AC9" i="5"/>
  <c r="AC27" i="5" s="1"/>
  <c r="AC84" i="5" l="1"/>
  <c r="AD6" i="5"/>
  <c r="AD13" i="5"/>
  <c r="AD11" i="5"/>
  <c r="AD10" i="5"/>
  <c r="AD12" i="5"/>
  <c r="AD73" i="5"/>
  <c r="AC37" i="5"/>
  <c r="AC38" i="5"/>
  <c r="AC40" i="5" s="1"/>
  <c r="AD74" i="5" l="1"/>
  <c r="AD79" i="5"/>
  <c r="AC65" i="5"/>
  <c r="AC60" i="5"/>
  <c r="AC42" i="5"/>
  <c r="AD35" i="5"/>
  <c r="AD34" i="5"/>
  <c r="AD21" i="5"/>
  <c r="AD23" i="5" s="1"/>
  <c r="AD30" i="5" s="1"/>
  <c r="AD31" i="5" s="1"/>
  <c r="AD36" i="5"/>
  <c r="AE5" i="5"/>
  <c r="AD9" i="5"/>
  <c r="AD27" i="5" s="1"/>
  <c r="AD4" i="5"/>
  <c r="AD78" i="5" s="1"/>
  <c r="AD80" i="5" s="1"/>
  <c r="AD81" i="5" s="1"/>
  <c r="AD83" i="5" s="1"/>
  <c r="AD84" i="5" l="1"/>
  <c r="AE6" i="5"/>
  <c r="AE73" i="5"/>
  <c r="AE13" i="5"/>
  <c r="AE11" i="5"/>
  <c r="AE12" i="5"/>
  <c r="AE10" i="5"/>
  <c r="AD37" i="5"/>
  <c r="AD38" i="5" s="1"/>
  <c r="AD40" i="5" s="1"/>
  <c r="AE74" i="5" l="1"/>
  <c r="AE79" i="5"/>
  <c r="AD60" i="5"/>
  <c r="AD65" i="5"/>
  <c r="AD42" i="5"/>
  <c r="AE21" i="5"/>
  <c r="AE23" i="5" s="1"/>
  <c r="AE30" i="5" s="1"/>
  <c r="AE31" i="5" s="1"/>
  <c r="AE36" i="5"/>
  <c r="AE35" i="5"/>
  <c r="AE34" i="5"/>
  <c r="AF5" i="5"/>
  <c r="AE4" i="5"/>
  <c r="AE78" i="5" s="1"/>
  <c r="AE9" i="5"/>
  <c r="AE27" i="5" s="1"/>
  <c r="AE80" i="5" l="1"/>
  <c r="AE81" i="5" s="1"/>
  <c r="AE83" i="5" s="1"/>
  <c r="AF6" i="5"/>
  <c r="AF13" i="5"/>
  <c r="AF12" i="5"/>
  <c r="AF11" i="5"/>
  <c r="AF10" i="5"/>
  <c r="AF73" i="5"/>
  <c r="AE37" i="5"/>
  <c r="AE38" i="5"/>
  <c r="AE40" i="5" s="1"/>
  <c r="AF74" i="5" l="1"/>
  <c r="AF79" i="5"/>
  <c r="AE84" i="5"/>
  <c r="AE65" i="5"/>
  <c r="AE60" i="5"/>
  <c r="AE42" i="5"/>
  <c r="AF21" i="5"/>
  <c r="AF23" i="5" s="1"/>
  <c r="AF30" i="5" s="1"/>
  <c r="AF31" i="5" s="1"/>
  <c r="AF36" i="5"/>
  <c r="AF35" i="5"/>
  <c r="AF34" i="5"/>
  <c r="AG5" i="5"/>
  <c r="AF4" i="5"/>
  <c r="AF78" i="5" s="1"/>
  <c r="AF9" i="5"/>
  <c r="AF27" i="5" s="1"/>
  <c r="AF80" i="5" l="1"/>
  <c r="AF81" i="5" s="1"/>
  <c r="AF83" i="5" s="1"/>
  <c r="AG6" i="5"/>
  <c r="AG12" i="5"/>
  <c r="AG13" i="5"/>
  <c r="AG11" i="5"/>
  <c r="AG10" i="5"/>
  <c r="AG73" i="5"/>
  <c r="AF37" i="5"/>
  <c r="AF38" i="5"/>
  <c r="AF40" i="5" s="1"/>
  <c r="AG74" i="5" l="1"/>
  <c r="AG79" i="5"/>
  <c r="AF84" i="5"/>
  <c r="AF65" i="5"/>
  <c r="AF60" i="5"/>
  <c r="AF42" i="5"/>
  <c r="AG36" i="5"/>
  <c r="AG35" i="5"/>
  <c r="AG34" i="5"/>
  <c r="AG21" i="5"/>
  <c r="AG23" i="5" s="1"/>
  <c r="AG30" i="5" s="1"/>
  <c r="AG31" i="5" s="1"/>
  <c r="AH5" i="5"/>
  <c r="AG4" i="5"/>
  <c r="AG78" i="5" s="1"/>
  <c r="AG9" i="5"/>
  <c r="AG27" i="5" s="1"/>
  <c r="AG80" i="5" l="1"/>
  <c r="AG81" i="5" s="1"/>
  <c r="AG83" i="5" s="1"/>
  <c r="AG37" i="5"/>
  <c r="AG38" i="5" s="1"/>
  <c r="AG40" i="5" s="1"/>
  <c r="AH6" i="5"/>
  <c r="AH11" i="5" s="1"/>
  <c r="AG84" i="5" l="1"/>
  <c r="AH73" i="5"/>
  <c r="AH12" i="5"/>
  <c r="AH13" i="5"/>
  <c r="AH10" i="5"/>
  <c r="AH36" i="5" s="1"/>
  <c r="AG65" i="5"/>
  <c r="AG60" i="5"/>
  <c r="AG42" i="5"/>
  <c r="AH34" i="5"/>
  <c r="AI5" i="5"/>
  <c r="AH4" i="5"/>
  <c r="AH78" i="5" s="1"/>
  <c r="AH9" i="5"/>
  <c r="AH27" i="5" s="1"/>
  <c r="AH35" i="5" l="1"/>
  <c r="AH21" i="5"/>
  <c r="AH23" i="5" s="1"/>
  <c r="AH30" i="5" s="1"/>
  <c r="AH31" i="5" s="1"/>
  <c r="AH37" i="5" s="1"/>
  <c r="AH38" i="5" s="1"/>
  <c r="AH40" i="5" s="1"/>
  <c r="AH74" i="5"/>
  <c r="AH79" i="5"/>
  <c r="AH80" i="5" s="1"/>
  <c r="AH81" i="5" s="1"/>
  <c r="AH83" i="5" s="1"/>
  <c r="AI6" i="5"/>
  <c r="AI73" i="5" s="1"/>
  <c r="AI12" i="5"/>
  <c r="AI13" i="5"/>
  <c r="AI74" i="5" l="1"/>
  <c r="AI79" i="5"/>
  <c r="AI10" i="5"/>
  <c r="AI36" i="5" s="1"/>
  <c r="AH84" i="5"/>
  <c r="AI11" i="5"/>
  <c r="AH60" i="5"/>
  <c r="AH65" i="5"/>
  <c r="AH42" i="5"/>
  <c r="AI34" i="5"/>
  <c r="AI35" i="5"/>
  <c r="AJ5" i="5"/>
  <c r="AI4" i="5"/>
  <c r="AI78" i="5" s="1"/>
  <c r="AI9" i="5"/>
  <c r="AI27" i="5" s="1"/>
  <c r="AI21" i="5" l="1"/>
  <c r="AI23" i="5" s="1"/>
  <c r="AI30" i="5" s="1"/>
  <c r="AI31" i="5" s="1"/>
  <c r="AI80" i="5"/>
  <c r="AI81" i="5" s="1"/>
  <c r="AI83" i="5" s="1"/>
  <c r="AI37" i="5"/>
  <c r="AJ6" i="5"/>
  <c r="AJ12" i="5"/>
  <c r="AJ10" i="5"/>
  <c r="AJ13" i="5"/>
  <c r="AJ11" i="5"/>
  <c r="AJ73" i="5"/>
  <c r="AI38" i="5"/>
  <c r="AI40" i="5" s="1"/>
  <c r="AJ74" i="5" l="1"/>
  <c r="AJ79" i="5"/>
  <c r="AI84" i="5"/>
  <c r="AI60" i="5"/>
  <c r="AI65" i="5"/>
  <c r="AI42" i="5"/>
  <c r="AJ36" i="5"/>
  <c r="AJ35" i="5"/>
  <c r="AJ34" i="5"/>
  <c r="AJ21" i="5"/>
  <c r="AJ23" i="5" s="1"/>
  <c r="AJ30" i="5" s="1"/>
  <c r="AJ31" i="5" s="1"/>
  <c r="AK5" i="5"/>
  <c r="AJ4" i="5"/>
  <c r="AJ78" i="5" s="1"/>
  <c r="AJ80" i="5" s="1"/>
  <c r="AJ81" i="5" s="1"/>
  <c r="AJ83" i="5" s="1"/>
  <c r="AJ9" i="5"/>
  <c r="AJ27" i="5" s="1"/>
  <c r="AJ84" i="5" l="1"/>
  <c r="AJ37" i="5"/>
  <c r="AK6" i="5"/>
  <c r="AK73" i="5"/>
  <c r="AK12" i="5"/>
  <c r="AK10" i="5"/>
  <c r="AK11" i="5"/>
  <c r="AK13" i="5"/>
  <c r="AJ38" i="5"/>
  <c r="AJ40" i="5" s="1"/>
  <c r="AK74" i="5" l="1"/>
  <c r="AK79" i="5"/>
  <c r="AJ60" i="5"/>
  <c r="AJ65" i="5"/>
  <c r="AJ42" i="5"/>
  <c r="AK35" i="5"/>
  <c r="AK34" i="5"/>
  <c r="AK36" i="5"/>
  <c r="AK21" i="5"/>
  <c r="AK23" i="5" s="1"/>
  <c r="AK30" i="5" s="1"/>
  <c r="AK31" i="5" s="1"/>
  <c r="AL5" i="5"/>
  <c r="AK9" i="5"/>
  <c r="AK27" i="5" s="1"/>
  <c r="AK4" i="5"/>
  <c r="AK78" i="5" s="1"/>
  <c r="AK80" i="5" s="1"/>
  <c r="AK81" i="5" s="1"/>
  <c r="AK83" i="5" s="1"/>
  <c r="AK84" i="5" l="1"/>
  <c r="AL6" i="5"/>
  <c r="AL73" i="5"/>
  <c r="AL12" i="5"/>
  <c r="AL10" i="5"/>
  <c r="AL13" i="5"/>
  <c r="AL11" i="5"/>
  <c r="AK37" i="5"/>
  <c r="AK38" i="5" s="1"/>
  <c r="AK40" i="5" s="1"/>
  <c r="AL74" i="5" l="1"/>
  <c r="AL79" i="5"/>
  <c r="AK65" i="5"/>
  <c r="AK60" i="5"/>
  <c r="AK42" i="5"/>
  <c r="AL21" i="5"/>
  <c r="AL23" i="5" s="1"/>
  <c r="AL30" i="5" s="1"/>
  <c r="AL31" i="5" s="1"/>
  <c r="AL34" i="5"/>
  <c r="AL35" i="5"/>
  <c r="AL36" i="5"/>
  <c r="AM5" i="5"/>
  <c r="AL9" i="5"/>
  <c r="AL27" i="5" s="1"/>
  <c r="AL4" i="5"/>
  <c r="AL78" i="5" s="1"/>
  <c r="AL80" i="5" s="1"/>
  <c r="AL81" i="5" s="1"/>
  <c r="AL83" i="5" s="1"/>
  <c r="AL84" i="5" l="1"/>
  <c r="AM6" i="5"/>
  <c r="AM12" i="5"/>
  <c r="AM10" i="5"/>
  <c r="AM11" i="5"/>
  <c r="AM13" i="5"/>
  <c r="AM73" i="5"/>
  <c r="AL37" i="5"/>
  <c r="AL38" i="5" s="1"/>
  <c r="AL40" i="5" s="1"/>
  <c r="AM74" i="5" l="1"/>
  <c r="AM79" i="5"/>
  <c r="AL65" i="5"/>
  <c r="AL60" i="5"/>
  <c r="AL42" i="5"/>
  <c r="AM35" i="5"/>
  <c r="AM34" i="5"/>
  <c r="AM36" i="5"/>
  <c r="AM21" i="5"/>
  <c r="AM23" i="5" s="1"/>
  <c r="AM30" i="5" s="1"/>
  <c r="AM31" i="5" s="1"/>
  <c r="AN5" i="5"/>
  <c r="AM4" i="5"/>
  <c r="AM78" i="5" s="1"/>
  <c r="AM80" i="5" s="1"/>
  <c r="AM81" i="5" s="1"/>
  <c r="AM83" i="5" s="1"/>
  <c r="AM9" i="5"/>
  <c r="AM27" i="5" s="1"/>
  <c r="AM84" i="5" l="1"/>
  <c r="AN6" i="5"/>
  <c r="AN13" i="5"/>
  <c r="AN11" i="5"/>
  <c r="AN10" i="5"/>
  <c r="AN12" i="5"/>
  <c r="AN73" i="5"/>
  <c r="AM37" i="5"/>
  <c r="AM38" i="5" s="1"/>
  <c r="AM40" i="5" s="1"/>
  <c r="AN74" i="5" l="1"/>
  <c r="AN79" i="5"/>
  <c r="AM65" i="5"/>
  <c r="AM60" i="5"/>
  <c r="AM42" i="5"/>
  <c r="AN35" i="5"/>
  <c r="AN21" i="5"/>
  <c r="AN23" i="5" s="1"/>
  <c r="AN30" i="5" s="1"/>
  <c r="AN31" i="5" s="1"/>
  <c r="AN34" i="5"/>
  <c r="AN36" i="5"/>
  <c r="AO5" i="5"/>
  <c r="AN4" i="5"/>
  <c r="AN78" i="5" s="1"/>
  <c r="AN9" i="5"/>
  <c r="AN27" i="5" s="1"/>
  <c r="AN80" i="5" l="1"/>
  <c r="AN81" i="5" s="1"/>
  <c r="AN83" i="5" s="1"/>
  <c r="AO6" i="5"/>
  <c r="AO11" i="5"/>
  <c r="AO13" i="5"/>
  <c r="AO10" i="5"/>
  <c r="AO12" i="5"/>
  <c r="AO73" i="5"/>
  <c r="AN37" i="5"/>
  <c r="AN38" i="5" s="1"/>
  <c r="AN40" i="5" s="1"/>
  <c r="AO74" i="5" l="1"/>
  <c r="AO79" i="5"/>
  <c r="AN84" i="5"/>
  <c r="AN65" i="5"/>
  <c r="AN60" i="5"/>
  <c r="AN42" i="5"/>
  <c r="AO21" i="5"/>
  <c r="AO23" i="5" s="1"/>
  <c r="AO30" i="5" s="1"/>
  <c r="AO31" i="5" s="1"/>
  <c r="AO34" i="5"/>
  <c r="AO36" i="5"/>
  <c r="AO35" i="5"/>
  <c r="AP5" i="5"/>
  <c r="AO4" i="5"/>
  <c r="AO78" i="5" s="1"/>
  <c r="AO80" i="5" s="1"/>
  <c r="AO81" i="5" s="1"/>
  <c r="AO83" i="5" s="1"/>
  <c r="AO9" i="5"/>
  <c r="AO27" i="5" s="1"/>
  <c r="AO84" i="5" l="1"/>
  <c r="AO37" i="5"/>
  <c r="AP6" i="5"/>
  <c r="AP11" i="5" s="1"/>
  <c r="AP12" i="5"/>
  <c r="AP10" i="5"/>
  <c r="AP73" i="5"/>
  <c r="AO38" i="5"/>
  <c r="AO40" i="5" s="1"/>
  <c r="AP74" i="5" l="1"/>
  <c r="AP79" i="5"/>
  <c r="AP13" i="5"/>
  <c r="AO65" i="5"/>
  <c r="AO60" i="5"/>
  <c r="AO42" i="5"/>
  <c r="AP21" i="5"/>
  <c r="AP23" i="5" s="1"/>
  <c r="AP30" i="5" s="1"/>
  <c r="AP31" i="5" s="1"/>
  <c r="AP35" i="5"/>
  <c r="AP34" i="5"/>
  <c r="AP36" i="5"/>
  <c r="AQ5" i="5"/>
  <c r="AP4" i="5"/>
  <c r="AP78" i="5" s="1"/>
  <c r="AP9" i="5"/>
  <c r="AP27" i="5" s="1"/>
  <c r="AP80" i="5" l="1"/>
  <c r="AP81" i="5" s="1"/>
  <c r="AP83" i="5" s="1"/>
  <c r="AQ6" i="5"/>
  <c r="AQ73" i="5"/>
  <c r="AQ11" i="5"/>
  <c r="AQ13" i="5"/>
  <c r="AQ10" i="5"/>
  <c r="AQ12" i="5"/>
  <c r="AP37" i="5"/>
  <c r="AP38" i="5" s="1"/>
  <c r="AP40" i="5" s="1"/>
  <c r="AQ74" i="5" l="1"/>
  <c r="AQ79" i="5"/>
  <c r="AP84" i="5"/>
  <c r="AP65" i="5"/>
  <c r="AP60" i="5"/>
  <c r="AP42" i="5"/>
  <c r="AQ36" i="5"/>
  <c r="AQ21" i="5"/>
  <c r="AQ23" i="5" s="1"/>
  <c r="AQ30" i="5" s="1"/>
  <c r="AQ31" i="5" s="1"/>
  <c r="AQ35" i="5"/>
  <c r="AQ34" i="5"/>
  <c r="AR5" i="5"/>
  <c r="AQ4" i="5"/>
  <c r="AQ78" i="5" s="1"/>
  <c r="AQ9" i="5"/>
  <c r="AQ27" i="5" s="1"/>
  <c r="AQ80" i="5" l="1"/>
  <c r="AQ81" i="5" s="1"/>
  <c r="AQ83" i="5" s="1"/>
  <c r="AQ37" i="5"/>
  <c r="AR6" i="5"/>
  <c r="AR11" i="5"/>
  <c r="AR73" i="5"/>
  <c r="AR13" i="5"/>
  <c r="AR12" i="5"/>
  <c r="AR10" i="5"/>
  <c r="AQ38" i="5"/>
  <c r="AQ40" i="5" s="1"/>
  <c r="AR74" i="5" l="1"/>
  <c r="AR79" i="5"/>
  <c r="AQ84" i="5"/>
  <c r="AQ65" i="5"/>
  <c r="AQ60" i="5"/>
  <c r="AQ42" i="5"/>
  <c r="AR34" i="5"/>
  <c r="AR36" i="5"/>
  <c r="AR35" i="5"/>
  <c r="AR21" i="5"/>
  <c r="AR23" i="5" s="1"/>
  <c r="AR30" i="5" s="1"/>
  <c r="AR31" i="5" s="1"/>
  <c r="AS5" i="5"/>
  <c r="AR4" i="5"/>
  <c r="AR78" i="5" s="1"/>
  <c r="AR9" i="5"/>
  <c r="AR27" i="5" s="1"/>
  <c r="AR80" i="5" l="1"/>
  <c r="AR81" i="5" s="1"/>
  <c r="AR83" i="5" s="1"/>
  <c r="AR37" i="5"/>
  <c r="AS6" i="5"/>
  <c r="AS10" i="5"/>
  <c r="AS11" i="5"/>
  <c r="AS13" i="5"/>
  <c r="AS12" i="5"/>
  <c r="AS73" i="5"/>
  <c r="AR38" i="5"/>
  <c r="AR40" i="5" s="1"/>
  <c r="AS74" i="5" l="1"/>
  <c r="AS79" i="5"/>
  <c r="AR84" i="5"/>
  <c r="AR65" i="5"/>
  <c r="AR60" i="5"/>
  <c r="AR42" i="5"/>
  <c r="AS34" i="5"/>
  <c r="AS36" i="5"/>
  <c r="AS35" i="5"/>
  <c r="AS21" i="5"/>
  <c r="AS23" i="5" s="1"/>
  <c r="AS30" i="5" s="1"/>
  <c r="AS31" i="5" s="1"/>
  <c r="AT5" i="5"/>
  <c r="AS4" i="5"/>
  <c r="AS78" i="5" s="1"/>
  <c r="AS9" i="5"/>
  <c r="AS27" i="5" s="1"/>
  <c r="AS80" i="5" l="1"/>
  <c r="AS81" i="5" s="1"/>
  <c r="AS83" i="5" s="1"/>
  <c r="AS37" i="5"/>
  <c r="AS38" i="5"/>
  <c r="AS40" i="5" s="1"/>
  <c r="AT6" i="5"/>
  <c r="AT12" i="5"/>
  <c r="J12" i="5" s="1"/>
  <c r="AT10" i="5"/>
  <c r="AT11" i="5"/>
  <c r="J11" i="5" s="1"/>
  <c r="AT13" i="5"/>
  <c r="J13" i="5" s="1"/>
  <c r="AT73" i="5"/>
  <c r="AT79" i="5" s="1"/>
  <c r="AS84" i="5" l="1"/>
  <c r="AS65" i="5"/>
  <c r="AS60" i="5"/>
  <c r="AS42" i="5"/>
  <c r="AT74" i="5"/>
  <c r="J73" i="5"/>
  <c r="AT36" i="5"/>
  <c r="J36" i="5" s="1"/>
  <c r="AT21" i="5"/>
  <c r="AT35" i="5"/>
  <c r="J35" i="5" s="1"/>
  <c r="AT34" i="5"/>
  <c r="J10" i="5"/>
  <c r="AT4" i="5"/>
  <c r="AT78" i="5" s="1"/>
  <c r="AT80" i="5" s="1"/>
  <c r="AT81" i="5" s="1"/>
  <c r="AT83" i="5" s="1"/>
  <c r="AT84" i="5" s="1"/>
  <c r="AT9" i="5"/>
  <c r="AT23" i="5" l="1"/>
  <c r="J21" i="5"/>
  <c r="AT27" i="5"/>
  <c r="J9" i="5"/>
  <c r="J34" i="5"/>
  <c r="J27" i="5" l="1"/>
  <c r="AT30" i="5"/>
  <c r="J23" i="5"/>
  <c r="G48" i="5" l="1"/>
  <c r="AM48" i="5" s="1"/>
  <c r="H87" i="5"/>
  <c r="AT31" i="5"/>
  <c r="J30" i="5"/>
  <c r="R48" i="5"/>
  <c r="AB48" i="5"/>
  <c r="AL48" i="5"/>
  <c r="S48" i="5"/>
  <c r="AC48" i="5"/>
  <c r="Y48" i="5"/>
  <c r="AP48" i="5"/>
  <c r="AE48" i="5"/>
  <c r="Z48" i="5"/>
  <c r="AQ48" i="5"/>
  <c r="AT48" i="5"/>
  <c r="AT66" i="5" s="1"/>
  <c r="V48" i="5"/>
  <c r="AJ48" i="5"/>
  <c r="O48" i="5"/>
  <c r="U48" i="5"/>
  <c r="W48" i="5"/>
  <c r="P48" i="5"/>
  <c r="AO48" i="5"/>
  <c r="T48" i="5"/>
  <c r="K48" i="5" l="1"/>
  <c r="AS48" i="5"/>
  <c r="AH48" i="5"/>
  <c r="AH66" i="5" s="1"/>
  <c r="AH67" i="5" s="1"/>
  <c r="AI48" i="5"/>
  <c r="AD48" i="5"/>
  <c r="AD66" i="5" s="1"/>
  <c r="AD67" i="5" s="1"/>
  <c r="X48" i="5"/>
  <c r="AA48" i="5"/>
  <c r="AG48" i="5"/>
  <c r="AG66" i="5" s="1"/>
  <c r="AG67" i="5" s="1"/>
  <c r="L48" i="5"/>
  <c r="L50" i="5" s="1"/>
  <c r="L52" i="5" s="1"/>
  <c r="L54" i="5" s="1"/>
  <c r="N48" i="5"/>
  <c r="N66" i="5" s="1"/>
  <c r="N67" i="5" s="1"/>
  <c r="Q48" i="5"/>
  <c r="AR48" i="5"/>
  <c r="AN48" i="5"/>
  <c r="AN50" i="5" s="1"/>
  <c r="AN52" i="5" s="1"/>
  <c r="AN54" i="5" s="1"/>
  <c r="AK48" i="5"/>
  <c r="AK50" i="5" s="1"/>
  <c r="AK52" i="5" s="1"/>
  <c r="AK54" i="5" s="1"/>
  <c r="AF48" i="5"/>
  <c r="M48" i="5"/>
  <c r="U66" i="5"/>
  <c r="U67" i="5" s="1"/>
  <c r="U50" i="5"/>
  <c r="U52" i="5" s="1"/>
  <c r="U54" i="5" s="1"/>
  <c r="AL66" i="5"/>
  <c r="AL67" i="5" s="1"/>
  <c r="AL50" i="5"/>
  <c r="AL52" i="5" s="1"/>
  <c r="AL54" i="5" s="1"/>
  <c r="AP66" i="5"/>
  <c r="AP67" i="5" s="1"/>
  <c r="AP50" i="5"/>
  <c r="AP52" i="5" s="1"/>
  <c r="AP54" i="5" s="1"/>
  <c r="S66" i="5"/>
  <c r="S67" i="5" s="1"/>
  <c r="S50" i="5"/>
  <c r="S52" i="5" s="1"/>
  <c r="S54" i="5" s="1"/>
  <c r="AE66" i="5"/>
  <c r="AE67" i="5" s="1"/>
  <c r="AE50" i="5"/>
  <c r="AE52" i="5" s="1"/>
  <c r="AE54" i="5" s="1"/>
  <c r="AJ66" i="5"/>
  <c r="AJ67" i="5" s="1"/>
  <c r="AJ50" i="5"/>
  <c r="AJ52" i="5" s="1"/>
  <c r="AJ54" i="5" s="1"/>
  <c r="AO66" i="5"/>
  <c r="AO67" i="5" s="1"/>
  <c r="AO50" i="5"/>
  <c r="AO52" i="5" s="1"/>
  <c r="AO54" i="5" s="1"/>
  <c r="Y66" i="5"/>
  <c r="Y67" i="5" s="1"/>
  <c r="Y50" i="5"/>
  <c r="Y52" i="5" s="1"/>
  <c r="Y54" i="5" s="1"/>
  <c r="P66" i="5"/>
  <c r="P67" i="5" s="1"/>
  <c r="P50" i="5"/>
  <c r="P52" i="5" s="1"/>
  <c r="K66" i="5"/>
  <c r="K50" i="5"/>
  <c r="AS66" i="5"/>
  <c r="AS67" i="5" s="1"/>
  <c r="AS50" i="5"/>
  <c r="AS52" i="5" s="1"/>
  <c r="AS54" i="5" s="1"/>
  <c r="AK66" i="5"/>
  <c r="AK67" i="5" s="1"/>
  <c r="AD50" i="5"/>
  <c r="AD52" i="5" s="1"/>
  <c r="AD54" i="5" s="1"/>
  <c r="Z66" i="5"/>
  <c r="Z67" i="5" s="1"/>
  <c r="Z50" i="5"/>
  <c r="Z52" i="5" s="1"/>
  <c r="Z54" i="5" s="1"/>
  <c r="O66" i="5"/>
  <c r="O67" i="5" s="1"/>
  <c r="O50" i="5"/>
  <c r="O52" i="5" s="1"/>
  <c r="O54" i="5" s="1"/>
  <c r="T66" i="5"/>
  <c r="T67" i="5" s="1"/>
  <c r="T50" i="5"/>
  <c r="T52" i="5" s="1"/>
  <c r="T54" i="5" s="1"/>
  <c r="AB66" i="5"/>
  <c r="AB67" i="5" s="1"/>
  <c r="AB50" i="5"/>
  <c r="AB52" i="5" s="1"/>
  <c r="AB54" i="5" s="1"/>
  <c r="V66" i="5"/>
  <c r="V67" i="5" s="1"/>
  <c r="V50" i="5"/>
  <c r="V52" i="5" s="1"/>
  <c r="V54" i="5" s="1"/>
  <c r="R66" i="5"/>
  <c r="R67" i="5" s="1"/>
  <c r="R50" i="5"/>
  <c r="R52" i="5" s="1"/>
  <c r="R54" i="5" s="1"/>
  <c r="AR66" i="5"/>
  <c r="AR67" i="5" s="1"/>
  <c r="AR50" i="5"/>
  <c r="AR52" i="5" s="1"/>
  <c r="AR54" i="5" s="1"/>
  <c r="AN66" i="5"/>
  <c r="AN67" i="5" s="1"/>
  <c r="AH50" i="5"/>
  <c r="AH52" i="5" s="1"/>
  <c r="AH54" i="5" s="1"/>
  <c r="AI66" i="5"/>
  <c r="AI67" i="5" s="1"/>
  <c r="AI50" i="5"/>
  <c r="AI52" i="5" s="1"/>
  <c r="AI54" i="5" s="1"/>
  <c r="X66" i="5"/>
  <c r="X67" i="5" s="1"/>
  <c r="X50" i="5"/>
  <c r="X52" i="5" s="1"/>
  <c r="X54" i="5" s="1"/>
  <c r="AA66" i="5"/>
  <c r="AA67" i="5" s="1"/>
  <c r="AA50" i="5"/>
  <c r="AA52" i="5" s="1"/>
  <c r="AA54" i="5" s="1"/>
  <c r="N50" i="5"/>
  <c r="N52" i="5" s="1"/>
  <c r="N54" i="5" s="1"/>
  <c r="Q66" i="5"/>
  <c r="Q67" i="5" s="1"/>
  <c r="Q50" i="5"/>
  <c r="Q52" i="5" s="1"/>
  <c r="Q54" i="5" s="1"/>
  <c r="AF66" i="5"/>
  <c r="AF67" i="5" s="1"/>
  <c r="AF50" i="5"/>
  <c r="AF52" i="5" s="1"/>
  <c r="AF54" i="5" s="1"/>
  <c r="M66" i="5"/>
  <c r="M67" i="5" s="1"/>
  <c r="M50" i="5"/>
  <c r="M52" i="5" s="1"/>
  <c r="M54" i="5" s="1"/>
  <c r="AM66" i="5"/>
  <c r="AM67" i="5" s="1"/>
  <c r="AM50" i="5"/>
  <c r="AM52" i="5" s="1"/>
  <c r="AM54" i="5" s="1"/>
  <c r="W66" i="5"/>
  <c r="W67" i="5" s="1"/>
  <c r="W50" i="5"/>
  <c r="W52" i="5" s="1"/>
  <c r="W54" i="5" s="1"/>
  <c r="AQ66" i="5"/>
  <c r="AQ67" i="5" s="1"/>
  <c r="AQ50" i="5"/>
  <c r="AQ52" i="5" s="1"/>
  <c r="AQ54" i="5" s="1"/>
  <c r="AC66" i="5"/>
  <c r="AC67" i="5" s="1"/>
  <c r="AC50" i="5"/>
  <c r="AC52" i="5" s="1"/>
  <c r="AC54" i="5" s="1"/>
  <c r="AT37" i="5"/>
  <c r="J31" i="5"/>
  <c r="L66" i="5" l="1"/>
  <c r="L67" i="5" s="1"/>
  <c r="AG50" i="5"/>
  <c r="AG52" i="5" s="1"/>
  <c r="AG54" i="5" s="1"/>
  <c r="J48" i="5"/>
  <c r="J66" i="5"/>
  <c r="K67" i="5"/>
  <c r="P54" i="5"/>
  <c r="J37" i="5"/>
  <c r="J38" i="5" s="1"/>
  <c r="AT38" i="5"/>
  <c r="AT40" i="5" s="1"/>
  <c r="K52" i="5"/>
  <c r="K54" i="5" s="1"/>
  <c r="AT50" i="5" l="1"/>
  <c r="AT60" i="5"/>
  <c r="AT65" i="5"/>
  <c r="J40" i="5"/>
  <c r="AT42" i="5"/>
  <c r="K69" i="5"/>
  <c r="K70" i="5" l="1"/>
  <c r="G44" i="5"/>
  <c r="J42" i="5"/>
  <c r="AT67" i="5"/>
  <c r="J65" i="5"/>
  <c r="J60" i="5"/>
  <c r="AT52" i="5"/>
  <c r="J52" i="5" s="1"/>
  <c r="J50" i="5"/>
  <c r="J67" i="5" l="1"/>
  <c r="AT54" i="5"/>
  <c r="K61" i="5"/>
  <c r="K62" i="5" l="1"/>
  <c r="G56" i="5"/>
  <c r="J54" i="5"/>
  <c r="K75" i="5" l="1"/>
  <c r="K93" i="5" l="1"/>
  <c r="K85" i="5"/>
  <c r="J61" i="5" l="1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J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J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J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J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J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J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H88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G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J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J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G99" i="5"/>
  <c r="J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G107" i="5"/>
  <c r="G111" i="5"/>
  <c r="G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G117" i="5"/>
  <c r="E8" i="6"/>
  <c r="E12" i="6"/>
  <c r="E13" i="6"/>
  <c r="E14" i="6"/>
  <c r="E15" i="6"/>
</calcChain>
</file>

<file path=xl/sharedStrings.xml><?xml version="1.0" encoding="utf-8"?>
<sst xmlns="http://schemas.openxmlformats.org/spreadsheetml/2006/main" count="271" uniqueCount="164">
  <si>
    <t>Inputs Time Independent</t>
  </si>
  <si>
    <t>Timing</t>
  </si>
  <si>
    <t>Financial Close</t>
  </si>
  <si>
    <t>Commercial Operations Date (COD)</t>
  </si>
  <si>
    <t>Project Lifetime</t>
  </si>
  <si>
    <t>Date</t>
  </si>
  <si>
    <t>Years</t>
  </si>
  <si>
    <t>Technical Parameters</t>
  </si>
  <si>
    <t>Installed Capacity</t>
  </si>
  <si>
    <t>P50 Energy Yield</t>
  </si>
  <si>
    <t>Degradation</t>
  </si>
  <si>
    <t>Plant Availability</t>
  </si>
  <si>
    <t>MWp</t>
  </si>
  <si>
    <t>% p.a.</t>
  </si>
  <si>
    <t>%</t>
  </si>
  <si>
    <t>Revenue Assumptions – Power Purchase Agreement (PPA)</t>
  </si>
  <si>
    <t>Contract Term</t>
  </si>
  <si>
    <t>Price Escalation</t>
  </si>
  <si>
    <t>PPA Price</t>
  </si>
  <si>
    <t>$/MWh</t>
  </si>
  <si>
    <t>Operating Expenditures</t>
  </si>
  <si>
    <t>O&amp;M</t>
  </si>
  <si>
    <t>Insurance</t>
  </si>
  <si>
    <t>Other Opex</t>
  </si>
  <si>
    <t>Land Lease</t>
  </si>
  <si>
    <t>Opex Escalation (CPI)</t>
  </si>
  <si>
    <t>$/MWp p.a.</t>
  </si>
  <si>
    <t>% of revenue</t>
  </si>
  <si>
    <t>Capital Expenditures &amp; Depreciation</t>
  </si>
  <si>
    <t>Total Cost (fully in place)</t>
  </si>
  <si>
    <t>$/MWp</t>
  </si>
  <si>
    <t>Financing Assumptions</t>
  </si>
  <si>
    <t>Debt Sizing Parameters</t>
  </si>
  <si>
    <t>Maximum Leverage</t>
  </si>
  <si>
    <t>Maximum Debt Tenor</t>
  </si>
  <si>
    <t>Target DSCR (P50)</t>
  </si>
  <si>
    <t>Interest Rate Assumptions</t>
  </si>
  <si>
    <t>Debt Margin</t>
  </si>
  <si>
    <t>Hedging Ratio</t>
  </si>
  <si>
    <t>Fixed Swap Rate</t>
  </si>
  <si>
    <t>Depreciation Tenure (Straight line)</t>
  </si>
  <si>
    <t>x</t>
  </si>
  <si>
    <t>Tax Assumptions</t>
  </si>
  <si>
    <t>Corporate Tax Rate</t>
  </si>
  <si>
    <t>Return Expectations</t>
  </si>
  <si>
    <t>Target Minimum Equity IRR</t>
  </si>
  <si>
    <t>MWh/MWp/p.a.</t>
  </si>
  <si>
    <t>MWh/p.a.</t>
  </si>
  <si>
    <t>SOFR Forward Curve</t>
  </si>
  <si>
    <t>Floating Base Rate</t>
  </si>
  <si>
    <t>Basic Project Finance Model</t>
  </si>
  <si>
    <t>Model timeline &amp; Flags</t>
  </si>
  <si>
    <t>Year</t>
  </si>
  <si>
    <t>Start of Period</t>
  </si>
  <si>
    <t>End of Period</t>
  </si>
  <si>
    <t>Flags</t>
  </si>
  <si>
    <t>[1,0]</t>
  </si>
  <si>
    <t>Start</t>
  </si>
  <si>
    <t>End</t>
  </si>
  <si>
    <t>Operations</t>
  </si>
  <si>
    <t>PPA Term</t>
  </si>
  <si>
    <t>Depreciation</t>
  </si>
  <si>
    <t>Debt Tenor</t>
  </si>
  <si>
    <t>Inflation</t>
  </si>
  <si>
    <t>PPA Escalation</t>
  </si>
  <si>
    <t>Opex Escalation</t>
  </si>
  <si>
    <t>Index</t>
  </si>
  <si>
    <t>Generation</t>
  </si>
  <si>
    <t>Net generation before degradation</t>
  </si>
  <si>
    <t>Net generation after degradation</t>
  </si>
  <si>
    <t>MWh</t>
  </si>
  <si>
    <t>P50</t>
  </si>
  <si>
    <t>Availability</t>
  </si>
  <si>
    <t>Capex, Revenue &amp; Opex</t>
  </si>
  <si>
    <t>$</t>
  </si>
  <si>
    <t>Capital Expenditure</t>
  </si>
  <si>
    <t>MW</t>
  </si>
  <si>
    <t>Revenues</t>
  </si>
  <si>
    <t>PPA Revenue</t>
  </si>
  <si>
    <t>Total Revenue</t>
  </si>
  <si>
    <t>Operational Expenditure</t>
  </si>
  <si>
    <t>% of Revenue</t>
  </si>
  <si>
    <t>Total Opex</t>
  </si>
  <si>
    <t>EBITDA</t>
  </si>
  <si>
    <t>Pre-tax Cash Flow</t>
  </si>
  <si>
    <t>Unlevered pre-tax Project IRR</t>
  </si>
  <si>
    <t>Depreciation &amp; Unlevered Taxes</t>
  </si>
  <si>
    <t>Tax Depreciation</t>
  </si>
  <si>
    <t>Tax Basis</t>
  </si>
  <si>
    <t>EBIT</t>
  </si>
  <si>
    <t>Less: Unlevered Taxes</t>
  </si>
  <si>
    <t>After-tax Cash Flow</t>
  </si>
  <si>
    <t>Unlevered after-tax Project IRR</t>
  </si>
  <si>
    <t>Senior Debt</t>
  </si>
  <si>
    <t>Less: Levered Taxes</t>
  </si>
  <si>
    <t>CFADS</t>
  </si>
  <si>
    <t>Cash Flow Available to Debt Service (CFADS)</t>
  </si>
  <si>
    <t>Levered Taxes</t>
  </si>
  <si>
    <t>Less: Depeciation</t>
  </si>
  <si>
    <t xml:space="preserve">EBIT </t>
  </si>
  <si>
    <t>Less: Debt Interest</t>
  </si>
  <si>
    <t>EBT</t>
  </si>
  <si>
    <t>Levered taxes</t>
  </si>
  <si>
    <t>Debt Sizing</t>
  </si>
  <si>
    <t>Target Debt Service</t>
  </si>
  <si>
    <t>Interest Rates</t>
  </si>
  <si>
    <t>Unhedged Rate (SOFR)</t>
  </si>
  <si>
    <t>Blended Base Rate</t>
  </si>
  <si>
    <t>All-in Interest Rate</t>
  </si>
  <si>
    <t>Discount Factor Multiple</t>
  </si>
  <si>
    <t>PV Discount Factor</t>
  </si>
  <si>
    <t>NPV of Target Debt Service</t>
  </si>
  <si>
    <t>Max Debt according to max. leverage ratio</t>
  </si>
  <si>
    <t>Final Debt Size</t>
  </si>
  <si>
    <t>Debt Account</t>
  </si>
  <si>
    <t>Balance b/f</t>
  </si>
  <si>
    <t>Drawdowns</t>
  </si>
  <si>
    <t>Principal Repayment</t>
  </si>
  <si>
    <t>Balance c/f</t>
  </si>
  <si>
    <t>Debt Interest</t>
  </si>
  <si>
    <t>Check Debt Sizing</t>
  </si>
  <si>
    <t>Ok, Fail</t>
  </si>
  <si>
    <t>Equity</t>
  </si>
  <si>
    <t>Dividends</t>
  </si>
  <si>
    <t>Free Cash Flow to Equity (FCFE)</t>
  </si>
  <si>
    <t>Equity Contributions</t>
  </si>
  <si>
    <t>Net FCFE</t>
  </si>
  <si>
    <t>Levered Project IRR</t>
  </si>
  <si>
    <t>Net Present Value (NPV)</t>
  </si>
  <si>
    <t>Target (min) IRR</t>
  </si>
  <si>
    <t>NPV Discounted @target (min) IRR</t>
  </si>
  <si>
    <t>Cash-on-Cash Yield</t>
  </si>
  <si>
    <t>30Y CoC Multiple</t>
  </si>
  <si>
    <t>Cumulative Net FCFE</t>
  </si>
  <si>
    <t>Payback Period</t>
  </si>
  <si>
    <t>Case Study Output Summary</t>
  </si>
  <si>
    <t>Summary of Key outputs on a P50 Basis</t>
  </si>
  <si>
    <t>Internal Rate of Return (IRR)</t>
  </si>
  <si>
    <t>Levered Equity IRR</t>
  </si>
  <si>
    <t>Other Metrics</t>
  </si>
  <si>
    <t>CoC Multiple</t>
  </si>
  <si>
    <t>Equity Payback Period</t>
  </si>
  <si>
    <t>Total Energy Generation</t>
  </si>
  <si>
    <t>Model Notes</t>
  </si>
  <si>
    <t>Purpose:</t>
  </si>
  <si>
    <r>
      <t>This project finance model was independently completed by </t>
    </r>
    <r>
      <rPr>
        <b/>
        <sz val="12"/>
        <color theme="1"/>
        <rFont val="Aptos Narrow"/>
        <scheme val="minor"/>
      </rPr>
      <t>Prasad Lambor</t>
    </r>
    <r>
      <rPr>
        <sz val="12"/>
        <color theme="1"/>
        <rFont val="Aptos Narrow"/>
        <family val="2"/>
        <scheme val="minor"/>
      </rPr>
      <t xml:space="preserve"> as a portfolio exercise using the publicly available Project Finance Modelling Test developed by the </t>
    </r>
    <r>
      <rPr>
        <b/>
        <sz val="12"/>
        <color theme="1"/>
        <rFont val="Aptos Narrow"/>
        <scheme val="minor"/>
      </rPr>
      <t>Renewables Valuation Institute (RVI)</t>
    </r>
  </si>
  <si>
    <t>The model evaluates a hypothetical 150 MWp solar PV project with a 30-year power purchase agreement and assesses the project’s financial viability and investor returns</t>
  </si>
  <si>
    <t>Attribution:</t>
  </si>
  <si>
    <t>The case study assumptions and SOFR forward curve were provided as part of RVI’s publicly available modelling exercise</t>
  </si>
  <si>
    <t>The model structure, formulas, calculations, debt sizing, return analysis and presentation were completed independently by Prasad Lambor</t>
  </si>
  <si>
    <t>Model Scope:</t>
  </si>
  <si>
    <t>The model includes:</t>
  </si>
  <si>
    <t>Energy generation and revenue forecasts</t>
  </si>
  <si>
    <t>Operating expenditure projections</t>
  </si>
  <si>
    <t>Depreciation and taxation</t>
  </si>
  <si>
    <t>Debt sizing based on target DSCR</t>
  </si>
  <si>
    <t>Debt repayment and interest calculations</t>
  </si>
  <si>
    <t>Project and equity cash flows</t>
  </si>
  <si>
    <t>Project IRR and Equity IRR</t>
  </si>
  <si>
    <t>Net Present Value</t>
  </si>
  <si>
    <t>Cash-on-Cash yield and multiple</t>
  </si>
  <si>
    <t>Equity payback period</t>
  </si>
  <si>
    <t>Disclaimer:</t>
  </si>
  <si>
    <t>This model is provided solely for educational and portfolio purposes. It is based on a hypothetical project and should not be relied upon for investment, financing or commercial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</si>
</sst>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* \(#,##0\);_-* &quot;-&quot;??;_-@_-"/>
    <numFmt numFmtId="165" formatCode="_(* #,##0.00_);* \(#,##0.00\);_-* &quot;-&quot;??;_-@_-"/>
    <numFmt numFmtId="166" formatCode="&quot;Fail&quot;;&quot;Fail&quot;;&quot;Ok&quot;"/>
    <numFmt numFmtId="167" formatCode="[$-C09]dd\-mmm\-yy;@"/>
    <numFmt numFmtId="168" formatCode="#,##0.00&quot;x&quot;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5"/>
      <color rgb="FF1A2B4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3F5B73"/>
      <name val="Aptos Narrow"/>
      <family val="2"/>
      <scheme val="minor"/>
    </font>
    <font>
      <b/>
      <sz val="15"/>
      <color rgb="FF1B2B40"/>
      <name val="Aptos Narrow"/>
      <family val="2"/>
      <scheme val="minor"/>
    </font>
    <font>
      <sz val="11"/>
      <color rgb="FF3F5B73"/>
      <name val="Aptos Narrow"/>
      <family val="2"/>
      <scheme val="minor"/>
    </font>
    <font>
      <sz val="11"/>
      <color rgb="FF1B2B40"/>
      <name val="Aptos Narrow"/>
      <family val="2"/>
      <scheme val="minor"/>
    </font>
    <font>
      <sz val="11"/>
      <color rgb="FF737373"/>
      <name val="Aptos Narrow"/>
      <family val="2"/>
      <scheme val="minor"/>
    </font>
    <font>
      <sz val="11"/>
      <color rgb="FFBACDD9"/>
      <name val="Aptos Narrow"/>
      <family val="2"/>
      <scheme val="minor"/>
    </font>
    <font>
      <sz val="11"/>
      <color rgb="FFA6A6A6"/>
      <name val="Aptos Narrow"/>
      <family val="2"/>
      <scheme val="minor"/>
    </font>
    <font>
      <sz val="11"/>
      <color rgb="FF152031"/>
      <name val="Helvetica"/>
      <family val="2"/>
    </font>
    <font>
      <sz val="14"/>
      <color rgb="FF152031"/>
      <name val="Helvetica"/>
      <family val="2"/>
    </font>
    <font>
      <b/>
      <sz val="11"/>
      <color rgb="FF152031"/>
      <name val="Helvetica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737373"/>
      <name val="Aptos Narrow"/>
      <scheme val="minor"/>
    </font>
    <font>
      <b/>
      <sz val="11"/>
      <color rgb="FF1B2B40"/>
      <name val="Aptos Narrow"/>
      <scheme val="minor"/>
    </font>
    <font>
      <sz val="11"/>
      <color rgb="FF1B2B40"/>
      <name val="Aptos Narrow"/>
      <scheme val="minor"/>
    </font>
    <font>
      <u/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B2B40"/>
        <bgColor indexed="64"/>
      </patternFill>
    </fill>
    <fill>
      <patternFill patternType="solid">
        <fgColor rgb="FFD9E3F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37373"/>
        <bgColor indexed="64"/>
      </patternFill>
    </fill>
    <fill>
      <patternFill patternType="lightTrellis">
        <fgColor rgb="FFA6A6A6"/>
      </patternFill>
    </fill>
    <fill>
      <patternFill patternType="lightUp">
        <fgColor rgb="FFD9D9D9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5B73"/>
      </left>
      <right style="thin">
        <color rgb="FF3F5B73"/>
      </right>
      <top style="thin">
        <color rgb="FF3F5B73"/>
      </top>
      <bottom style="thin">
        <color rgb="FF3F5B73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1B2B40"/>
      </left>
      <right style="thin">
        <color rgb="FF1B2B40"/>
      </right>
      <top style="thin">
        <color rgb="FF1B2B40"/>
      </top>
      <bottom style="thin">
        <color rgb="FF1B2B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B2B40"/>
      </left>
      <right style="thin">
        <color rgb="FF1B2B40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2" fillId="2" borderId="0" applyProtection="0"/>
    <xf numFmtId="0" fontId="3" fillId="0" borderId="0" applyNumberFormat="0" applyFill="0" applyBorder="0" applyAlignment="0" applyProtection="0"/>
    <xf numFmtId="0" fontId="4" fillId="2" borderId="1" applyNumberFormat="0" applyProtection="0"/>
    <xf numFmtId="43" fontId="1" fillId="0" borderId="0" applyFont="0" applyFill="0" applyBorder="0" applyAlignment="0" applyProtection="0"/>
    <xf numFmtId="0" fontId="5" fillId="3" borderId="0" applyNumberFormat="0" applyAlignment="0" applyProtection="0"/>
    <xf numFmtId="0" fontId="6" fillId="0" borderId="0"/>
    <xf numFmtId="0" fontId="2" fillId="3" borderId="0" applyProtection="0"/>
    <xf numFmtId="0" fontId="7" fillId="0" borderId="0"/>
    <xf numFmtId="0" fontId="4" fillId="3" borderId="1" applyNumberFormat="0" applyProtection="0">
      <alignment horizontal="centerContinuous"/>
    </xf>
    <xf numFmtId="0" fontId="8" fillId="0" borderId="0" applyNumberFormat="0" applyFill="0" applyBorder="0" applyAlignment="0" applyProtection="0"/>
    <xf numFmtId="1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9" fillId="4" borderId="2" applyNumberFormat="0">
      <alignment horizontal="right" vertical="top" wrapText="1"/>
      <protection locked="0"/>
    </xf>
    <xf numFmtId="0" fontId="10" fillId="0" borderId="3" applyNumberFormat="0" applyAlignment="0" applyProtection="0">
      <alignment wrapText="1"/>
    </xf>
    <xf numFmtId="0" fontId="9" fillId="5" borderId="4" applyNumberFormat="0" applyAlignment="0" applyProtection="0">
      <alignment horizontal="right" vertical="top" wrapText="1"/>
      <protection locked="0"/>
    </xf>
    <xf numFmtId="0" fontId="10" fillId="6" borderId="5" applyNumberFormat="0" applyAlignment="0" applyProtection="0"/>
    <xf numFmtId="0" fontId="11" fillId="7" borderId="1" applyNumberFormat="0" applyAlignment="0" applyProtection="0">
      <alignment horizontal="centerContinuous"/>
    </xf>
    <xf numFmtId="164" fontId="12" fillId="8" borderId="1" applyAlignment="0" applyProtection="0"/>
    <xf numFmtId="0" fontId="10" fillId="9" borderId="6" applyNumberFormat="0" applyAlignment="0" applyProtection="0"/>
    <xf numFmtId="0" fontId="10" fillId="0" borderId="7" applyNumberFormat="0" applyFont="0" applyFill="0" applyAlignment="0" applyProtection="0"/>
    <xf numFmtId="0" fontId="11" fillId="0" borderId="0" applyNumberFormat="0" applyFill="0" applyBorder="0" applyAlignment="0" applyProtection="0"/>
    <xf numFmtId="166" fontId="10" fillId="0" borderId="4">
      <alignment horizontal="center"/>
    </xf>
    <xf numFmtId="164" fontId="13" fillId="10" borderId="6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6" fillId="0" borderId="0" xfId="6"/>
    <xf numFmtId="0" fontId="2" fillId="3" borderId="0" xfId="7"/>
    <xf numFmtId="0" fontId="7" fillId="0" borderId="0" xfId="8"/>
    <xf numFmtId="0" fontId="4" fillId="3" borderId="1" xfId="9">
      <alignment horizontal="centerContinuous"/>
    </xf>
    <xf numFmtId="0" fontId="2" fillId="3" borderId="0" xfId="7" applyAlignment="1">
      <alignment horizontal="left"/>
    </xf>
    <xf numFmtId="0" fontId="8" fillId="0" borderId="0" xfId="10" applyAlignment="1">
      <alignment horizontal="left"/>
    </xf>
    <xf numFmtId="164" fontId="0" fillId="0" borderId="0" xfId="12" applyFont="1"/>
    <xf numFmtId="0" fontId="9" fillId="4" borderId="2" xfId="14">
      <alignment horizontal="right" vertical="top" wrapText="1"/>
      <protection locked="0"/>
    </xf>
    <xf numFmtId="0" fontId="11" fillId="7" borderId="1" xfId="18" applyAlignment="1"/>
    <xf numFmtId="0" fontId="10" fillId="9" borderId="6" xfId="20"/>
    <xf numFmtId="0" fontId="11" fillId="0" borderId="0" xfId="22"/>
    <xf numFmtId="166" fontId="10" fillId="0" borderId="4" xfId="23">
      <alignment horizontal="center"/>
    </xf>
    <xf numFmtId="164" fontId="13" fillId="10" borderId="6" xfId="24" applyAlignment="1">
      <alignment horizontal="center"/>
    </xf>
    <xf numFmtId="0" fontId="14" fillId="0" borderId="0" xfId="0" applyFont="1"/>
    <xf numFmtId="167" fontId="9" fillId="4" borderId="2" xfId="14" applyNumberFormat="1">
      <alignment horizontal="right" vertical="top" wrapText="1"/>
      <protection locked="0"/>
    </xf>
    <xf numFmtId="0" fontId="15" fillId="0" borderId="0" xfId="0" applyFont="1"/>
    <xf numFmtId="0" fontId="11" fillId="0" borderId="0" xfId="22" applyFill="1" applyBorder="1"/>
    <xf numFmtId="10" fontId="9" fillId="4" borderId="2" xfId="14" applyNumberFormat="1">
      <alignment horizontal="right" vertical="top" wrapText="1"/>
      <protection locked="0"/>
    </xf>
    <xf numFmtId="164" fontId="9" fillId="4" borderId="2" xfId="14" applyNumberFormat="1">
      <alignment horizontal="right" vertical="top" wrapText="1"/>
      <protection locked="0"/>
    </xf>
    <xf numFmtId="165" fontId="9" fillId="4" borderId="2" xfId="14" applyNumberFormat="1">
      <alignment horizontal="right" vertical="top" wrapText="1"/>
      <protection locked="0"/>
    </xf>
    <xf numFmtId="0" fontId="16" fillId="0" borderId="0" xfId="0" applyFont="1"/>
    <xf numFmtId="168" fontId="9" fillId="4" borderId="2" xfId="14" applyNumberFormat="1">
      <alignment horizontal="right" vertical="top" wrapText="1"/>
      <protection locked="0"/>
    </xf>
    <xf numFmtId="9" fontId="9" fillId="4" borderId="2" xfId="14" applyNumberFormat="1">
      <alignment horizontal="right" vertical="top" wrapText="1"/>
      <protection locked="0"/>
    </xf>
    <xf numFmtId="164" fontId="10" fillId="0" borderId="3" xfId="12" applyFont="1" applyBorder="1" applyAlignment="1"/>
    <xf numFmtId="0" fontId="8" fillId="0" borderId="0" xfId="10"/>
    <xf numFmtId="0" fontId="17" fillId="0" borderId="0" xfId="0" applyFont="1"/>
    <xf numFmtId="10" fontId="9" fillId="4" borderId="2" xfId="25" applyNumberFormat="1" applyFont="1" applyFill="1" applyBorder="1" applyAlignment="1" applyProtection="1">
      <alignment horizontal="right" vertical="top" wrapText="1"/>
      <protection locked="0"/>
    </xf>
    <xf numFmtId="0" fontId="2" fillId="2" borderId="0" xfId="1"/>
    <xf numFmtId="0" fontId="3" fillId="0" borderId="0" xfId="2"/>
    <xf numFmtId="167" fontId="0" fillId="0" borderId="0" xfId="0" applyNumberFormat="1"/>
    <xf numFmtId="167" fontId="9" fillId="5" borderId="4" xfId="16" applyNumberFormat="1" applyAlignment="1" applyProtection="1"/>
    <xf numFmtId="0" fontId="4" fillId="2" borderId="1" xfId="3"/>
    <xf numFmtId="164" fontId="10" fillId="6" borderId="5" xfId="12" applyFont="1" applyFill="1" applyBorder="1"/>
    <xf numFmtId="10" fontId="0" fillId="0" borderId="0" xfId="0" applyNumberFormat="1"/>
    <xf numFmtId="10" fontId="9" fillId="5" borderId="4" xfId="16" applyNumberFormat="1" applyAlignment="1" applyProtection="1"/>
    <xf numFmtId="43" fontId="11" fillId="7" borderId="1" xfId="18" applyNumberFormat="1" applyAlignment="1"/>
    <xf numFmtId="43" fontId="0" fillId="0" borderId="0" xfId="0" applyNumberFormat="1"/>
    <xf numFmtId="164" fontId="9" fillId="5" borderId="4" xfId="16" applyNumberFormat="1" applyAlignment="1" applyProtection="1"/>
    <xf numFmtId="10" fontId="0" fillId="0" borderId="0" xfId="25" applyNumberFormat="1" applyFont="1"/>
    <xf numFmtId="0" fontId="0" fillId="0" borderId="8" xfId="0" applyBorder="1"/>
    <xf numFmtId="164" fontId="0" fillId="0" borderId="8" xfId="12" applyFont="1" applyBorder="1"/>
    <xf numFmtId="10" fontId="9" fillId="5" borderId="9" xfId="16" applyNumberFormat="1" applyBorder="1" applyAlignment="1" applyProtection="1"/>
    <xf numFmtId="0" fontId="11" fillId="0" borderId="8" xfId="22" applyBorder="1"/>
    <xf numFmtId="43" fontId="11" fillId="7" borderId="1" xfId="4" applyFont="1" applyFill="1" applyBorder="1" applyAlignment="1"/>
    <xf numFmtId="0" fontId="18" fillId="0" borderId="0" xfId="0" applyFont="1"/>
    <xf numFmtId="164" fontId="9" fillId="5" borderId="4" xfId="12" applyFont="1" applyFill="1" applyBorder="1" applyAlignment="1" applyProtection="1"/>
    <xf numFmtId="164" fontId="0" fillId="0" borderId="0" xfId="0" applyNumberFormat="1"/>
    <xf numFmtId="43" fontId="9" fillId="5" borderId="4" xfId="16" applyNumberFormat="1" applyAlignment="1" applyProtection="1"/>
    <xf numFmtId="0" fontId="18" fillId="0" borderId="7" xfId="21" applyFont="1"/>
    <xf numFmtId="0" fontId="19" fillId="0" borderId="7" xfId="22" applyFont="1" applyBorder="1"/>
    <xf numFmtId="164" fontId="20" fillId="6" borderId="5" xfId="12" applyFont="1" applyFill="1" applyBorder="1"/>
    <xf numFmtId="164" fontId="18" fillId="0" borderId="7" xfId="12" applyFont="1" applyBorder="1"/>
    <xf numFmtId="0" fontId="18" fillId="0" borderId="0" xfId="21" applyFont="1" applyFill="1" applyBorder="1"/>
    <xf numFmtId="10" fontId="9" fillId="5" borderId="4" xfId="25" applyNumberFormat="1" applyFont="1" applyFill="1" applyBorder="1" applyAlignment="1" applyProtection="1"/>
    <xf numFmtId="0" fontId="11" fillId="0" borderId="10" xfId="22" applyBorder="1"/>
    <xf numFmtId="0" fontId="18" fillId="0" borderId="10" xfId="0" applyFont="1" applyBorder="1"/>
    <xf numFmtId="0" fontId="19" fillId="0" borderId="10" xfId="22" applyFont="1" applyBorder="1"/>
    <xf numFmtId="164" fontId="20" fillId="6" borderId="11" xfId="12" applyFont="1" applyFill="1" applyBorder="1"/>
    <xf numFmtId="164" fontId="18" fillId="0" borderId="10" xfId="0" applyNumberFormat="1" applyFont="1" applyBorder="1"/>
    <xf numFmtId="10" fontId="20" fillId="0" borderId="3" xfId="15" applyNumberFormat="1" applyFont="1" applyAlignment="1"/>
    <xf numFmtId="168" fontId="9" fillId="5" borderId="4" xfId="16" applyNumberFormat="1" applyAlignment="1" applyProtection="1"/>
    <xf numFmtId="168" fontId="0" fillId="0" borderId="0" xfId="0" applyNumberFormat="1"/>
    <xf numFmtId="164" fontId="21" fillId="6" borderId="11" xfId="12" applyFont="1" applyFill="1" applyBorder="1"/>
    <xf numFmtId="0" fontId="17" fillId="0" borderId="0" xfId="6" applyFont="1"/>
    <xf numFmtId="10" fontId="9" fillId="4" borderId="2" xfId="26" applyNumberFormat="1" applyFont="1" applyFill="1" applyBorder="1" applyAlignment="1" applyProtection="1">
      <alignment horizontal="right" vertical="top" wrapText="1"/>
      <protection locked="0"/>
    </xf>
    <xf numFmtId="0" fontId="22" fillId="0" borderId="0" xfId="0" applyFont="1"/>
    <xf numFmtId="10" fontId="0" fillId="0" borderId="8" xfId="0" applyNumberFormat="1" applyBorder="1"/>
    <xf numFmtId="9" fontId="9" fillId="5" borderId="4" xfId="16" applyNumberFormat="1" applyAlignment="1" applyProtection="1"/>
    <xf numFmtId="164" fontId="10" fillId="0" borderId="3" xfId="15" applyNumberFormat="1" applyAlignment="1"/>
    <xf numFmtId="164" fontId="20" fillId="0" borderId="3" xfId="15" applyNumberFormat="1" applyFont="1" applyAlignment="1"/>
    <xf numFmtId="164" fontId="0" fillId="0" borderId="7" xfId="21" applyNumberFormat="1" applyFont="1"/>
    <xf numFmtId="164" fontId="18" fillId="0" borderId="0" xfId="12" applyFont="1"/>
    <xf numFmtId="10" fontId="21" fillId="6" borderId="11" xfId="25" applyNumberFormat="1" applyFont="1" applyFill="1" applyBorder="1"/>
    <xf numFmtId="0" fontId="23" fillId="0" borderId="0" xfId="0" applyFont="1"/>
    <xf numFmtId="10" fontId="18" fillId="0" borderId="0" xfId="0" applyNumberFormat="1" applyFont="1"/>
  </cellXfs>
  <cellStyles count="27">
    <cellStyle name="Acc_Balance" xfId="21" xr:uid="{1D3E0819-6943-C84C-B000-E8635998F055}"/>
    <cellStyle name="Check" xfId="23" xr:uid="{1406AD55-B2A0-7247-922B-6ED30AD541D6}"/>
    <cellStyle name="Comma[0]" xfId="12" xr:uid="{440A1C47-928A-6747-9707-F58A76B80EFF}"/>
    <cellStyle name="Comma[2]" xfId="4" xr:uid="{F6FC0F0B-D11D-1646-9CFF-673CA09DEDC2}"/>
    <cellStyle name="Comma[2] 2" xfId="13" xr:uid="{0BE80045-5E2B-5D4B-8072-CB09432AD871}"/>
    <cellStyle name="Comment" xfId="8" xr:uid="{A6941AC7-1764-8E48-8C79-1F7A58065D60}"/>
    <cellStyle name="Empty" xfId="20" xr:uid="{1AA34393-8CBC-8A41-8052-4135393228A5}"/>
    <cellStyle name="Flag" xfId="24" xr:uid="{1922E4B5-5893-074D-9C58-34EF52F18A57}"/>
    <cellStyle name="H0" xfId="1" xr:uid="{29A72CDB-7601-1346-8ADF-E28D15BA9F91}"/>
    <cellStyle name="H0 2" xfId="7" xr:uid="{C8320DC5-B8B8-D54F-A223-C35F86D12B8E}"/>
    <cellStyle name="H1" xfId="2" xr:uid="{C0DF45BA-2F0D-2C44-985F-83391C2F1AB6}"/>
    <cellStyle name="H1 2" xfId="10" xr:uid="{817C8905-ADF9-7A43-8517-46774BF45B77}"/>
    <cellStyle name="HSheet" xfId="5" xr:uid="{E21657D3-A4A7-0542-B836-A22A87DA7FD3}"/>
    <cellStyle name="Inputs" xfId="14" xr:uid="{AE8C07C0-F8B6-0447-9D25-A7547E340B65}"/>
    <cellStyle name="Insheet" xfId="15" xr:uid="{8C7B6E97-DB18-104B-A26B-D816AD471FB1}"/>
    <cellStyle name="Macro" xfId="19" xr:uid="{BD31765D-0F19-854F-8D20-ED3F32D71C51}"/>
    <cellStyle name="Normal" xfId="0" builtinId="0"/>
    <cellStyle name="Normal 2" xfId="6" xr:uid="{238B0490-C2EF-3E4D-8002-62A8DBD19430}"/>
    <cellStyle name="Offsheet" xfId="16" xr:uid="{8D7BCAC7-F5FD-BE41-888A-BAB8F7712CFC}"/>
    <cellStyle name="Per cent" xfId="25" builtinId="5"/>
    <cellStyle name="Per cent 2" xfId="11" xr:uid="{ECC5CAA1-07D3-FC48-8D82-E8F523C1F1FB}"/>
    <cellStyle name="Per cent 3" xfId="26" xr:uid="{7810D925-7840-8541-B5C9-A3A40E77BA0D}"/>
    <cellStyle name="Row_Sum" xfId="17" xr:uid="{DFAB4D86-5E65-6C4B-8CF5-66B191E4423D}"/>
    <cellStyle name="Table" xfId="3" xr:uid="{BEC9DEC7-314B-CE45-935A-1E77757E39C0}"/>
    <cellStyle name="Table 2" xfId="9" xr:uid="{AC218428-228A-1C4F-A4EF-D4E0A3E72009}"/>
    <cellStyle name="Technical Input" xfId="18" xr:uid="{21032A67-E0E7-F94B-A6AA-898A7F5E187D}"/>
    <cellStyle name="Unit" xfId="22" xr:uid="{D1AF9041-E140-FC4E-B24B-5E1583540DEB}"/>
  </cellStyles>
  <dxfs count="6">
    <dxf>
      <fill>
        <patternFill patternType="lightUp">
          <fgColor rgb="FFA6A6A6"/>
          <bgColor rgb="FFBACD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lightUp">
          <fgColor rgb="FFA6A6A6"/>
          <bgColor rgb="FFBACD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A2B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AE3E-75F4-E741-8E3F-4DA15EEBE042}">
  <dimension ref="B2:R32"/>
  <sheetViews>
    <sheetView showGridLines="0" tabSelected="1" workbookViewId="0">
      <selection activeCell="M30" sqref="M30"/>
    </sheetView>
  </sheetViews>
  <sheetFormatPr baseColWidth="10" defaultRowHeight="16" x14ac:dyDescent="0.2"/>
  <cols>
    <col min="1" max="3" width="2.83203125" customWidth="1"/>
  </cols>
  <sheetData>
    <row r="2" spans="2:18" ht="22" x14ac:dyDescent="0.3">
      <c r="B2" s="28" t="s">
        <v>143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4" spans="2:18" ht="20" x14ac:dyDescent="0.25">
      <c r="C4" s="29" t="s">
        <v>144</v>
      </c>
    </row>
    <row r="5" spans="2:18" x14ac:dyDescent="0.2">
      <c r="D5" t="s">
        <v>145</v>
      </c>
    </row>
    <row r="6" spans="2:18" x14ac:dyDescent="0.2">
      <c r="D6" t="s">
        <v>146</v>
      </c>
    </row>
    <row r="8" spans="2:18" ht="20" x14ac:dyDescent="0.25">
      <c r="C8" s="29" t="s">
        <v>147</v>
      </c>
    </row>
    <row r="9" spans="2:18" x14ac:dyDescent="0.2">
      <c r="D9" t="s">
        <v>148</v>
      </c>
    </row>
    <row r="10" spans="2:18" x14ac:dyDescent="0.2">
      <c r="D10" t="s">
        <v>149</v>
      </c>
    </row>
    <row r="12" spans="2:18" ht="20" x14ac:dyDescent="0.25">
      <c r="C12" s="29" t="s">
        <v>150</v>
      </c>
    </row>
    <row r="13" spans="2:18" x14ac:dyDescent="0.2">
      <c r="D13" t="s">
        <v>151</v>
      </c>
    </row>
    <row r="14" spans="2:18" x14ac:dyDescent="0.2">
      <c r="E14" t="s">
        <v>152</v>
      </c>
    </row>
    <row r="15" spans="2:18" x14ac:dyDescent="0.2">
      <c r="E15" t="s">
        <v>153</v>
      </c>
    </row>
    <row r="16" spans="2:18" x14ac:dyDescent="0.2">
      <c r="E16" t="s">
        <v>154</v>
      </c>
    </row>
    <row r="17" spans="3:5" x14ac:dyDescent="0.2">
      <c r="E17" t="s">
        <v>155</v>
      </c>
    </row>
    <row r="18" spans="3:5" x14ac:dyDescent="0.2">
      <c r="E18" t="s">
        <v>156</v>
      </c>
    </row>
    <row r="19" spans="3:5" x14ac:dyDescent="0.2">
      <c r="E19" t="s">
        <v>157</v>
      </c>
    </row>
    <row r="20" spans="3:5" x14ac:dyDescent="0.2">
      <c r="E20" t="s">
        <v>158</v>
      </c>
    </row>
    <row r="21" spans="3:5" x14ac:dyDescent="0.2">
      <c r="E21" t="s">
        <v>159</v>
      </c>
    </row>
    <row r="22" spans="3:5" x14ac:dyDescent="0.2">
      <c r="E22" t="s">
        <v>160</v>
      </c>
    </row>
    <row r="23" spans="3:5" x14ac:dyDescent="0.2">
      <c r="E23" t="s">
        <v>161</v>
      </c>
    </row>
    <row r="25" spans="3:5" ht="20" x14ac:dyDescent="0.25">
      <c r="C25" s="29" t="s">
        <v>162</v>
      </c>
    </row>
    <row r="26" spans="3:5" ht="20" x14ac:dyDescent="0.25">
      <c r="C26" s="29"/>
      <c r="D26" t="s">
        <v>163</v>
      </c>
    </row>
    <row r="27" spans="3:5" ht="20" x14ac:dyDescent="0.25">
      <c r="C27" s="29"/>
    </row>
    <row r="28" spans="3:5" ht="20" x14ac:dyDescent="0.25">
      <c r="C28" s="29"/>
    </row>
    <row r="29" spans="3:5" ht="20" x14ac:dyDescent="0.25">
      <c r="C29" s="29"/>
    </row>
    <row r="30" spans="3:5" ht="20" x14ac:dyDescent="0.25">
      <c r="C30" s="29"/>
    </row>
    <row r="31" spans="3:5" ht="20" x14ac:dyDescent="0.25">
      <c r="C31" s="29"/>
    </row>
    <row r="32" spans="3:5" ht="20" x14ac:dyDescent="0.25">
      <c r="C32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DD08-215A-364F-8727-8337C522D5F8}">
  <dimension ref="A1:AP6"/>
  <sheetViews>
    <sheetView showGridLines="0" zoomScaleNormal="100" workbookViewId="0">
      <selection activeCell="E45" sqref="E45"/>
    </sheetView>
  </sheetViews>
  <sheetFormatPr baseColWidth="10" defaultColWidth="0" defaultRowHeight="15" customHeight="1" zeroHeight="1" x14ac:dyDescent="0.2"/>
  <cols>
    <col min="1" max="2" width="2.6640625" style="1" customWidth="1"/>
    <col min="3" max="3" width="47.83203125" style="1" customWidth="1"/>
    <col min="4" max="4" width="10" style="1" customWidth="1"/>
    <col min="5" max="5" width="9.1640625" style="1" customWidth="1"/>
    <col min="6" max="6" width="8.83203125" style="1" customWidth="1"/>
    <col min="7" max="41" width="9.1640625" style="1" customWidth="1"/>
    <col min="42" max="42" width="4.1640625" style="1" customWidth="1"/>
    <col min="43" max="16384" width="9.1640625" style="1" hidden="1"/>
  </cols>
  <sheetData>
    <row r="1" spans="2:41" x14ac:dyDescent="0.2"/>
    <row r="2" spans="2:41" ht="22" x14ac:dyDescent="0.3">
      <c r="B2" s="2" t="s">
        <v>48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2:41" ht="20" x14ac:dyDescent="0.25">
      <c r="C3" s="25" t="s">
        <v>48</v>
      </c>
    </row>
    <row r="4" spans="2:41" x14ac:dyDescent="0.2">
      <c r="C4" s="64" t="s">
        <v>49</v>
      </c>
      <c r="E4" s="4">
        <v>2026</v>
      </c>
      <c r="F4" s="4">
        <v>2027</v>
      </c>
      <c r="G4" s="4">
        <v>2028</v>
      </c>
      <c r="H4" s="4">
        <v>2029</v>
      </c>
      <c r="I4" s="4">
        <v>2030</v>
      </c>
      <c r="J4" s="4">
        <v>2031</v>
      </c>
      <c r="K4" s="4">
        <v>2032</v>
      </c>
      <c r="L4" s="4">
        <v>2033</v>
      </c>
      <c r="M4" s="4">
        <v>2034</v>
      </c>
      <c r="N4" s="4">
        <v>2035</v>
      </c>
      <c r="O4" s="4">
        <v>2036</v>
      </c>
      <c r="P4" s="4">
        <v>2037</v>
      </c>
      <c r="Q4" s="4">
        <v>2038</v>
      </c>
      <c r="R4" s="4">
        <v>2039</v>
      </c>
      <c r="S4" s="4">
        <v>2040</v>
      </c>
      <c r="T4" s="4">
        <v>2041</v>
      </c>
      <c r="U4" s="4">
        <v>2042</v>
      </c>
      <c r="V4" s="4">
        <v>2043</v>
      </c>
      <c r="W4" s="4">
        <v>2044</v>
      </c>
      <c r="X4" s="4">
        <v>2045</v>
      </c>
      <c r="Y4" s="4">
        <v>2046</v>
      </c>
      <c r="Z4" s="4">
        <v>2047</v>
      </c>
      <c r="AA4" s="4">
        <v>2048</v>
      </c>
      <c r="AB4" s="4">
        <v>2049</v>
      </c>
      <c r="AC4" s="4">
        <v>2050</v>
      </c>
      <c r="AD4" s="4">
        <v>2051</v>
      </c>
      <c r="AE4" s="4">
        <v>2052</v>
      </c>
      <c r="AF4" s="4">
        <v>2053</v>
      </c>
      <c r="AG4" s="4">
        <v>2054</v>
      </c>
      <c r="AH4" s="4">
        <v>2055</v>
      </c>
      <c r="AI4" s="4">
        <v>2056</v>
      </c>
      <c r="AJ4" s="4">
        <v>2057</v>
      </c>
      <c r="AK4" s="4">
        <v>2058</v>
      </c>
      <c r="AL4" s="4">
        <v>2059</v>
      </c>
      <c r="AM4" s="4">
        <v>2060</v>
      </c>
      <c r="AN4" s="4">
        <v>2061</v>
      </c>
      <c r="AO4" s="4">
        <v>2062</v>
      </c>
    </row>
    <row r="5" spans="2:41" x14ac:dyDescent="0.2">
      <c r="C5" s="1" t="s">
        <v>48</v>
      </c>
      <c r="D5" s="11" t="s">
        <v>14</v>
      </c>
      <c r="E5" s="65">
        <v>3.5099999999999999E-2</v>
      </c>
      <c r="F5" s="65">
        <v>3.3599999999999998E-2</v>
      </c>
      <c r="G5" s="65">
        <v>3.5400000000000001E-2</v>
      </c>
      <c r="H5" s="65">
        <v>3.6799999999999999E-2</v>
      </c>
      <c r="I5" s="65">
        <v>3.8600000000000002E-2</v>
      </c>
      <c r="J5" s="65">
        <v>4.02E-2</v>
      </c>
      <c r="K5" s="65">
        <v>4.1300000000000003E-2</v>
      </c>
      <c r="L5" s="65">
        <v>4.2200000000000001E-2</v>
      </c>
      <c r="M5" s="65">
        <v>4.3200000000000002E-2</v>
      </c>
      <c r="N5" s="65">
        <v>4.4200000000000003E-2</v>
      </c>
      <c r="O5" s="65">
        <v>4.4999999999999998E-2</v>
      </c>
      <c r="P5" s="65">
        <v>4.5400000000000003E-2</v>
      </c>
      <c r="Q5" s="65">
        <v>4.5400000000000003E-2</v>
      </c>
      <c r="R5" s="65">
        <v>4.4999999999999998E-2</v>
      </c>
      <c r="S5" s="65">
        <v>4.4299999999999999E-2</v>
      </c>
      <c r="T5" s="65">
        <v>4.3400000000000001E-2</v>
      </c>
      <c r="U5" s="65">
        <v>4.2599999999999999E-2</v>
      </c>
      <c r="V5" s="65">
        <v>4.1799999999999997E-2</v>
      </c>
      <c r="W5" s="65">
        <v>4.1099999999999998E-2</v>
      </c>
      <c r="X5" s="65">
        <v>4.0500000000000001E-2</v>
      </c>
      <c r="Y5" s="65">
        <v>3.9899999999999998E-2</v>
      </c>
      <c r="Z5" s="65">
        <v>3.9300000000000002E-2</v>
      </c>
      <c r="AA5" s="65">
        <v>3.8800000000000001E-2</v>
      </c>
      <c r="AB5" s="65">
        <v>3.8300000000000001E-2</v>
      </c>
      <c r="AC5" s="65">
        <v>3.7900000000000003E-2</v>
      </c>
      <c r="AD5" s="65">
        <v>3.7499999999999999E-2</v>
      </c>
      <c r="AE5" s="65">
        <v>3.7100000000000001E-2</v>
      </c>
      <c r="AF5" s="65">
        <v>3.6799999999999999E-2</v>
      </c>
      <c r="AG5" s="65">
        <v>3.6499999999999998E-2</v>
      </c>
      <c r="AH5" s="65">
        <v>3.5900000000000001E-2</v>
      </c>
      <c r="AI5" s="65">
        <v>3.5700000000000003E-2</v>
      </c>
      <c r="AJ5" s="65">
        <v>3.5499999999999997E-2</v>
      </c>
      <c r="AK5" s="65">
        <v>3.5299999999999998E-2</v>
      </c>
      <c r="AL5" s="65">
        <v>3.5099999999999999E-2</v>
      </c>
      <c r="AM5" s="65">
        <v>3.5000000000000003E-2</v>
      </c>
      <c r="AN5" s="65">
        <v>3.49E-2</v>
      </c>
      <c r="AO5" s="65">
        <v>3.4799999999999998E-2</v>
      </c>
    </row>
    <row r="6" spans="2:4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7B9B-CD89-F344-9CC5-2183D3BFC6E2}">
  <dimension ref="B1:H48"/>
  <sheetViews>
    <sheetView showGridLines="0" workbookViewId="0">
      <selection activeCell="D12" sqref="D12"/>
    </sheetView>
  </sheetViews>
  <sheetFormatPr baseColWidth="10" defaultColWidth="0" defaultRowHeight="16" zeroHeight="1" x14ac:dyDescent="0.2"/>
  <cols>
    <col min="1" max="3" width="3.33203125" customWidth="1"/>
    <col min="4" max="4" width="44.33203125" customWidth="1"/>
    <col min="5" max="5" width="13.83203125" customWidth="1"/>
    <col min="6" max="6" width="16.83203125" customWidth="1"/>
    <col min="7" max="8" width="2.5" customWidth="1"/>
  </cols>
  <sheetData>
    <row r="1" spans="2:8" x14ac:dyDescent="0.2"/>
    <row r="2" spans="2:8" ht="22" x14ac:dyDescent="0.3">
      <c r="B2" s="5" t="s">
        <v>0</v>
      </c>
      <c r="C2" s="5"/>
      <c r="D2" s="5"/>
      <c r="E2" s="5"/>
      <c r="F2" s="5"/>
      <c r="G2" s="5"/>
      <c r="H2" s="5"/>
    </row>
    <row r="3" spans="2:8" ht="20" x14ac:dyDescent="0.25">
      <c r="C3" s="6" t="s">
        <v>1</v>
      </c>
    </row>
    <row r="4" spans="2:8" x14ac:dyDescent="0.2">
      <c r="D4" s="14" t="s">
        <v>2</v>
      </c>
      <c r="E4" s="11" t="s">
        <v>5</v>
      </c>
      <c r="F4" s="15">
        <v>46022</v>
      </c>
    </row>
    <row r="5" spans="2:8" x14ac:dyDescent="0.2">
      <c r="D5" s="14" t="s">
        <v>3</v>
      </c>
      <c r="E5" s="11" t="s">
        <v>5</v>
      </c>
      <c r="F5" s="15">
        <v>46023</v>
      </c>
    </row>
    <row r="6" spans="2:8" x14ac:dyDescent="0.2">
      <c r="D6" s="14" t="s">
        <v>4</v>
      </c>
      <c r="E6" s="11" t="s">
        <v>6</v>
      </c>
      <c r="F6" s="8">
        <v>30</v>
      </c>
    </row>
    <row r="7" spans="2:8" x14ac:dyDescent="0.2"/>
    <row r="8" spans="2:8" ht="20" x14ac:dyDescent="0.25">
      <c r="C8" s="6" t="s">
        <v>7</v>
      </c>
    </row>
    <row r="9" spans="2:8" x14ac:dyDescent="0.2">
      <c r="D9" s="14" t="s">
        <v>8</v>
      </c>
      <c r="E9" s="17" t="s">
        <v>12</v>
      </c>
      <c r="F9" s="8">
        <v>150</v>
      </c>
    </row>
    <row r="10" spans="2:8" x14ac:dyDescent="0.2">
      <c r="D10" s="14" t="s">
        <v>9</v>
      </c>
      <c r="E10" s="17" t="s">
        <v>46</v>
      </c>
      <c r="F10" s="19">
        <v>2100</v>
      </c>
    </row>
    <row r="11" spans="2:8" x14ac:dyDescent="0.2">
      <c r="D11" s="14" t="s">
        <v>142</v>
      </c>
      <c r="E11" s="17" t="s">
        <v>47</v>
      </c>
      <c r="F11" s="24">
        <f>F10*F9</f>
        <v>315000</v>
      </c>
    </row>
    <row r="12" spans="2:8" x14ac:dyDescent="0.2">
      <c r="D12" s="14" t="s">
        <v>10</v>
      </c>
      <c r="E12" s="17" t="s">
        <v>13</v>
      </c>
      <c r="F12" s="18">
        <v>3.0000000000000001E-3</v>
      </c>
    </row>
    <row r="13" spans="2:8" x14ac:dyDescent="0.2">
      <c r="D13" s="14" t="s">
        <v>11</v>
      </c>
      <c r="E13" s="17" t="s">
        <v>14</v>
      </c>
      <c r="F13" s="18">
        <v>0.99</v>
      </c>
    </row>
    <row r="14" spans="2:8" x14ac:dyDescent="0.2"/>
    <row r="15" spans="2:8" ht="18" x14ac:dyDescent="0.2">
      <c r="C15" s="16" t="s">
        <v>15</v>
      </c>
    </row>
    <row r="16" spans="2:8" x14ac:dyDescent="0.2">
      <c r="D16" s="14" t="s">
        <v>16</v>
      </c>
      <c r="E16" s="17" t="s">
        <v>6</v>
      </c>
      <c r="F16" s="8">
        <v>30</v>
      </c>
    </row>
    <row r="17" spans="3:6" x14ac:dyDescent="0.2">
      <c r="D17" s="14" t="s">
        <v>18</v>
      </c>
      <c r="E17" s="17" t="s">
        <v>19</v>
      </c>
      <c r="F17" s="20">
        <v>75</v>
      </c>
    </row>
    <row r="18" spans="3:6" x14ac:dyDescent="0.2">
      <c r="D18" s="14" t="s">
        <v>17</v>
      </c>
      <c r="E18" s="17" t="s">
        <v>13</v>
      </c>
      <c r="F18" s="18">
        <v>2.5000000000000001E-2</v>
      </c>
    </row>
    <row r="19" spans="3:6" x14ac:dyDescent="0.2"/>
    <row r="20" spans="3:6" ht="18" x14ac:dyDescent="0.2">
      <c r="C20" s="16" t="s">
        <v>20</v>
      </c>
    </row>
    <row r="21" spans="3:6" x14ac:dyDescent="0.2">
      <c r="D21" s="14" t="s">
        <v>21</v>
      </c>
      <c r="E21" s="17" t="s">
        <v>26</v>
      </c>
      <c r="F21" s="19">
        <v>8000</v>
      </c>
    </row>
    <row r="22" spans="3:6" x14ac:dyDescent="0.2">
      <c r="D22" s="14" t="s">
        <v>22</v>
      </c>
      <c r="E22" s="17" t="s">
        <v>26</v>
      </c>
      <c r="F22" s="19">
        <v>2000</v>
      </c>
    </row>
    <row r="23" spans="3:6" x14ac:dyDescent="0.2">
      <c r="D23" s="14" t="s">
        <v>23</v>
      </c>
      <c r="E23" s="17" t="s">
        <v>26</v>
      </c>
      <c r="F23" s="19">
        <v>10000</v>
      </c>
    </row>
    <row r="24" spans="3:6" x14ac:dyDescent="0.2">
      <c r="D24" s="14" t="s">
        <v>24</v>
      </c>
      <c r="E24" s="17" t="s">
        <v>27</v>
      </c>
      <c r="F24" s="18">
        <v>0.02</v>
      </c>
    </row>
    <row r="25" spans="3:6" x14ac:dyDescent="0.2">
      <c r="D25" s="14" t="s">
        <v>25</v>
      </c>
      <c r="E25" s="17" t="s">
        <v>13</v>
      </c>
      <c r="F25" s="18">
        <v>0.02</v>
      </c>
    </row>
    <row r="26" spans="3:6" x14ac:dyDescent="0.2"/>
    <row r="27" spans="3:6" ht="18" x14ac:dyDescent="0.2">
      <c r="C27" s="16" t="s">
        <v>28</v>
      </c>
    </row>
    <row r="28" spans="3:6" x14ac:dyDescent="0.2">
      <c r="D28" s="14" t="s">
        <v>29</v>
      </c>
      <c r="E28" s="17" t="s">
        <v>30</v>
      </c>
      <c r="F28" s="19">
        <v>1850000</v>
      </c>
    </row>
    <row r="29" spans="3:6" x14ac:dyDescent="0.2">
      <c r="D29" s="14" t="s">
        <v>40</v>
      </c>
      <c r="E29" s="17" t="s">
        <v>6</v>
      </c>
      <c r="F29" s="8">
        <v>20</v>
      </c>
    </row>
    <row r="30" spans="3:6" x14ac:dyDescent="0.2"/>
    <row r="31" spans="3:6" ht="18" x14ac:dyDescent="0.2">
      <c r="C31" s="16" t="s">
        <v>31</v>
      </c>
    </row>
    <row r="32" spans="3:6" x14ac:dyDescent="0.2">
      <c r="D32" s="21" t="s">
        <v>32</v>
      </c>
    </row>
    <row r="33" spans="3:6" x14ac:dyDescent="0.2">
      <c r="D33" s="14" t="s">
        <v>33</v>
      </c>
      <c r="E33" s="17" t="s">
        <v>14</v>
      </c>
      <c r="F33" s="23">
        <v>0.9</v>
      </c>
    </row>
    <row r="34" spans="3:6" x14ac:dyDescent="0.2">
      <c r="D34" s="14" t="s">
        <v>34</v>
      </c>
      <c r="E34" s="17" t="s">
        <v>6</v>
      </c>
      <c r="F34" s="8">
        <v>20</v>
      </c>
    </row>
    <row r="35" spans="3:6" x14ac:dyDescent="0.2">
      <c r="D35" s="14" t="s">
        <v>35</v>
      </c>
      <c r="E35" s="17" t="s">
        <v>41</v>
      </c>
      <c r="F35" s="22">
        <v>1.3</v>
      </c>
    </row>
    <row r="36" spans="3:6" x14ac:dyDescent="0.2"/>
    <row r="37" spans="3:6" x14ac:dyDescent="0.2">
      <c r="D37" s="21" t="s">
        <v>36</v>
      </c>
    </row>
    <row r="38" spans="3:6" x14ac:dyDescent="0.2">
      <c r="D38" s="14" t="s">
        <v>37</v>
      </c>
      <c r="E38" s="17" t="s">
        <v>14</v>
      </c>
      <c r="F38" s="18">
        <v>0.02</v>
      </c>
    </row>
    <row r="39" spans="3:6" x14ac:dyDescent="0.2">
      <c r="D39" s="14" t="s">
        <v>38</v>
      </c>
      <c r="E39" s="17" t="s">
        <v>14</v>
      </c>
      <c r="F39" s="18">
        <v>0.75</v>
      </c>
    </row>
    <row r="40" spans="3:6" x14ac:dyDescent="0.2">
      <c r="D40" s="14" t="s">
        <v>39</v>
      </c>
      <c r="E40" s="17" t="s">
        <v>14</v>
      </c>
      <c r="F40" s="18">
        <v>0.04</v>
      </c>
    </row>
    <row r="41" spans="3:6" x14ac:dyDescent="0.2">
      <c r="D41" s="14"/>
    </row>
    <row r="42" spans="3:6" ht="18" x14ac:dyDescent="0.2">
      <c r="C42" s="16" t="s">
        <v>42</v>
      </c>
    </row>
    <row r="43" spans="3:6" x14ac:dyDescent="0.2">
      <c r="D43" s="14" t="s">
        <v>43</v>
      </c>
      <c r="E43" s="17" t="s">
        <v>14</v>
      </c>
      <c r="F43" s="18">
        <v>0.25</v>
      </c>
    </row>
    <row r="44" spans="3:6" x14ac:dyDescent="0.2"/>
    <row r="45" spans="3:6" ht="18" x14ac:dyDescent="0.2">
      <c r="C45" s="16" t="s">
        <v>44</v>
      </c>
    </row>
    <row r="46" spans="3:6" x14ac:dyDescent="0.2">
      <c r="D46" s="14" t="s">
        <v>45</v>
      </c>
      <c r="E46" s="17" t="s">
        <v>14</v>
      </c>
      <c r="F46" s="18">
        <v>0.1</v>
      </c>
    </row>
    <row r="47" spans="3:6" x14ac:dyDescent="0.2"/>
    <row r="48" spans="3:6" x14ac:dyDescent="0.2"/>
  </sheetData>
  <pageMargins left="0.7" right="0.7" top="0.75" bottom="0.75" header="0.3" footer="0.3"/>
  <ignoredErrors>
    <ignoredError sqref="F11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1FD4-876A-334E-8719-2151F839A0DE}">
  <dimension ref="B1:AO6"/>
  <sheetViews>
    <sheetView showGridLines="0" workbookViewId="0">
      <selection activeCell="E4" sqref="E4:AO4"/>
    </sheetView>
  </sheetViews>
  <sheetFormatPr baseColWidth="10" defaultColWidth="0" defaultRowHeight="16" zeroHeight="1" x14ac:dyDescent="0.2"/>
  <cols>
    <col min="1" max="2" width="3.1640625" customWidth="1"/>
    <col min="3" max="41" width="10.83203125" customWidth="1"/>
    <col min="42" max="42" width="3.33203125" customWidth="1"/>
  </cols>
  <sheetData>
    <row r="1" spans="2:41" x14ac:dyDescent="0.2"/>
    <row r="2" spans="2:41" ht="22" x14ac:dyDescent="0.3">
      <c r="B2" s="2" t="s">
        <v>48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2:41" ht="20" x14ac:dyDescent="0.25">
      <c r="C3" s="25" t="s">
        <v>48</v>
      </c>
    </row>
    <row r="4" spans="2:41" x14ac:dyDescent="0.2">
      <c r="C4" s="26" t="s">
        <v>49</v>
      </c>
      <c r="E4" s="4">
        <v>2026</v>
      </c>
      <c r="F4" s="4">
        <v>2027</v>
      </c>
      <c r="G4" s="4">
        <v>2028</v>
      </c>
      <c r="H4" s="4">
        <v>2029</v>
      </c>
      <c r="I4" s="4">
        <v>2030</v>
      </c>
      <c r="J4" s="4">
        <v>2031</v>
      </c>
      <c r="K4" s="4">
        <v>2032</v>
      </c>
      <c r="L4" s="4">
        <v>2033</v>
      </c>
      <c r="M4" s="4">
        <v>2034</v>
      </c>
      <c r="N4" s="4">
        <v>2035</v>
      </c>
      <c r="O4" s="4">
        <v>2036</v>
      </c>
      <c r="P4" s="4">
        <v>2037</v>
      </c>
      <c r="Q4" s="4">
        <v>2038</v>
      </c>
      <c r="R4" s="4">
        <v>2039</v>
      </c>
      <c r="S4" s="4">
        <v>2040</v>
      </c>
      <c r="T4" s="4">
        <v>2041</v>
      </c>
      <c r="U4" s="4">
        <v>2042</v>
      </c>
      <c r="V4" s="4">
        <v>2043</v>
      </c>
      <c r="W4" s="4">
        <v>2044</v>
      </c>
      <c r="X4" s="4">
        <v>2045</v>
      </c>
      <c r="Y4" s="4">
        <v>2046</v>
      </c>
      <c r="Z4" s="4">
        <v>2047</v>
      </c>
      <c r="AA4" s="4">
        <v>2048</v>
      </c>
      <c r="AB4" s="4">
        <v>2049</v>
      </c>
      <c r="AC4" s="4">
        <v>2050</v>
      </c>
      <c r="AD4" s="4">
        <v>2051</v>
      </c>
      <c r="AE4" s="4">
        <v>2052</v>
      </c>
      <c r="AF4" s="4">
        <v>2053</v>
      </c>
      <c r="AG4" s="4">
        <v>2054</v>
      </c>
      <c r="AH4" s="4">
        <v>2055</v>
      </c>
      <c r="AI4" s="4">
        <v>2056</v>
      </c>
      <c r="AJ4" s="4">
        <v>2057</v>
      </c>
      <c r="AK4" s="4">
        <v>2058</v>
      </c>
      <c r="AL4" s="4">
        <v>2059</v>
      </c>
      <c r="AM4" s="4">
        <v>2060</v>
      </c>
      <c r="AN4" s="4">
        <v>2061</v>
      </c>
      <c r="AO4" s="4">
        <v>2062</v>
      </c>
    </row>
    <row r="5" spans="2:41" x14ac:dyDescent="0.2">
      <c r="C5" t="s">
        <v>48</v>
      </c>
      <c r="D5" s="11" t="s">
        <v>14</v>
      </c>
      <c r="E5" s="27">
        <v>3.5099999999999999E-2</v>
      </c>
      <c r="F5" s="27">
        <v>3.3599999999999998E-2</v>
      </c>
      <c r="G5" s="27">
        <v>3.5400000000000001E-2</v>
      </c>
      <c r="H5" s="27">
        <v>3.6799999999999999E-2</v>
      </c>
      <c r="I5" s="27">
        <v>3.8600000000000002E-2</v>
      </c>
      <c r="J5" s="27">
        <v>4.02E-2</v>
      </c>
      <c r="K5" s="27">
        <v>4.1300000000000003E-2</v>
      </c>
      <c r="L5" s="27">
        <v>4.2200000000000001E-2</v>
      </c>
      <c r="M5" s="27">
        <v>4.3200000000000002E-2</v>
      </c>
      <c r="N5" s="27">
        <v>4.4200000000000003E-2</v>
      </c>
      <c r="O5" s="27">
        <v>4.4999999999999998E-2</v>
      </c>
      <c r="P5" s="27">
        <v>4.5400000000000003E-2</v>
      </c>
      <c r="Q5" s="27">
        <v>4.5400000000000003E-2</v>
      </c>
      <c r="R5" s="27">
        <v>4.4999999999999998E-2</v>
      </c>
      <c r="S5" s="27">
        <v>4.4299999999999999E-2</v>
      </c>
      <c r="T5" s="27">
        <v>4.3400000000000001E-2</v>
      </c>
      <c r="U5" s="27">
        <v>4.2599999999999999E-2</v>
      </c>
      <c r="V5" s="27">
        <v>4.1799999999999997E-2</v>
      </c>
      <c r="W5" s="27">
        <v>4.1099999999999998E-2</v>
      </c>
      <c r="X5" s="27">
        <v>4.0500000000000001E-2</v>
      </c>
      <c r="Y5" s="27">
        <v>3.9899999999999998E-2</v>
      </c>
      <c r="Z5" s="27">
        <v>3.9300000000000002E-2</v>
      </c>
      <c r="AA5" s="27">
        <v>3.8800000000000001E-2</v>
      </c>
      <c r="AB5" s="27">
        <v>3.8300000000000001E-2</v>
      </c>
      <c r="AC5" s="27">
        <v>3.7900000000000003E-2</v>
      </c>
      <c r="AD5" s="27">
        <v>3.7499999999999999E-2</v>
      </c>
      <c r="AE5" s="27">
        <v>3.7100000000000001E-2</v>
      </c>
      <c r="AF5" s="27">
        <v>3.6799999999999999E-2</v>
      </c>
      <c r="AG5" s="27">
        <v>3.6499999999999998E-2</v>
      </c>
      <c r="AH5" s="27">
        <v>3.5900000000000001E-2</v>
      </c>
      <c r="AI5" s="27">
        <v>3.5700000000000003E-2</v>
      </c>
      <c r="AJ5" s="27">
        <v>3.5499999999999997E-2</v>
      </c>
      <c r="AK5" s="27">
        <v>3.5299999999999998E-2</v>
      </c>
      <c r="AL5" s="27">
        <v>3.5099999999999999E-2</v>
      </c>
      <c r="AM5" s="27">
        <v>3.5000000000000003E-2</v>
      </c>
      <c r="AN5" s="27">
        <v>3.49E-2</v>
      </c>
      <c r="AO5" s="27">
        <v>3.4799999999999998E-2</v>
      </c>
    </row>
    <row r="6" spans="2:4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4BA3-7649-5B41-AC79-38CEFEFF4286}">
  <dimension ref="A1:AU117"/>
  <sheetViews>
    <sheetView showGridLines="0" workbookViewId="0">
      <pane xSplit="10" ySplit="6" topLeftCell="K7" activePane="bottomRight" state="frozen"/>
      <selection pane="topRight" activeCell="K1" sqref="K1"/>
      <selection pane="bottomLeft" activeCell="A7" sqref="A7"/>
      <selection pane="bottomRight" activeCell="D5" sqref="D5"/>
    </sheetView>
  </sheetViews>
  <sheetFormatPr baseColWidth="10" defaultColWidth="0" defaultRowHeight="16" outlineLevelRow="1" x14ac:dyDescent="0.2"/>
  <cols>
    <col min="1" max="3" width="3.1640625" customWidth="1"/>
    <col min="4" max="4" width="43.83203125" customWidth="1"/>
    <col min="5" max="5" width="13.83203125" style="11" customWidth="1"/>
    <col min="6" max="6" width="2.83203125" customWidth="1"/>
    <col min="7" max="8" width="13.83203125" customWidth="1"/>
    <col min="9" max="9" width="2.83203125" customWidth="1"/>
    <col min="10" max="10" width="16" bestFit="1" customWidth="1"/>
    <col min="11" max="47" width="12.83203125" customWidth="1"/>
    <col min="48" max="16384" width="12.83203125" hidden="1"/>
  </cols>
  <sheetData>
    <row r="1" spans="2:46" x14ac:dyDescent="0.2">
      <c r="E1"/>
    </row>
    <row r="2" spans="2:46" ht="22" x14ac:dyDescent="0.3">
      <c r="B2" s="28" t="s">
        <v>50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</row>
    <row r="3" spans="2:46" ht="20" x14ac:dyDescent="0.25">
      <c r="C3" s="29" t="s">
        <v>51</v>
      </c>
      <c r="E3"/>
    </row>
    <row r="4" spans="2:46" x14ac:dyDescent="0.2">
      <c r="D4" t="s">
        <v>52</v>
      </c>
      <c r="E4"/>
      <c r="K4">
        <f>YEAR(K6)</f>
        <v>2025</v>
      </c>
      <c r="L4">
        <f t="shared" ref="L4:AT4" si="0">YEAR(L6)</f>
        <v>2026</v>
      </c>
      <c r="M4">
        <f t="shared" si="0"/>
        <v>2027</v>
      </c>
      <c r="N4">
        <f t="shared" si="0"/>
        <v>2028</v>
      </c>
      <c r="O4">
        <f t="shared" si="0"/>
        <v>2029</v>
      </c>
      <c r="P4">
        <f t="shared" si="0"/>
        <v>2030</v>
      </c>
      <c r="Q4">
        <f t="shared" si="0"/>
        <v>2031</v>
      </c>
      <c r="R4">
        <f t="shared" si="0"/>
        <v>2032</v>
      </c>
      <c r="S4">
        <f t="shared" si="0"/>
        <v>2033</v>
      </c>
      <c r="T4">
        <f t="shared" si="0"/>
        <v>2034</v>
      </c>
      <c r="U4">
        <f t="shared" si="0"/>
        <v>2035</v>
      </c>
      <c r="V4">
        <f t="shared" si="0"/>
        <v>2036</v>
      </c>
      <c r="W4">
        <f t="shared" si="0"/>
        <v>2037</v>
      </c>
      <c r="X4">
        <f t="shared" si="0"/>
        <v>2038</v>
      </c>
      <c r="Y4">
        <f t="shared" si="0"/>
        <v>2039</v>
      </c>
      <c r="Z4">
        <f t="shared" si="0"/>
        <v>2040</v>
      </c>
      <c r="AA4">
        <f t="shared" si="0"/>
        <v>2041</v>
      </c>
      <c r="AB4">
        <f t="shared" si="0"/>
        <v>2042</v>
      </c>
      <c r="AC4">
        <f t="shared" si="0"/>
        <v>2043</v>
      </c>
      <c r="AD4">
        <f t="shared" si="0"/>
        <v>2044</v>
      </c>
      <c r="AE4">
        <f t="shared" si="0"/>
        <v>2045</v>
      </c>
      <c r="AF4">
        <f t="shared" si="0"/>
        <v>2046</v>
      </c>
      <c r="AG4">
        <f t="shared" si="0"/>
        <v>2047</v>
      </c>
      <c r="AH4">
        <f t="shared" si="0"/>
        <v>2048</v>
      </c>
      <c r="AI4">
        <f t="shared" si="0"/>
        <v>2049</v>
      </c>
      <c r="AJ4">
        <f t="shared" si="0"/>
        <v>2050</v>
      </c>
      <c r="AK4">
        <f t="shared" si="0"/>
        <v>2051</v>
      </c>
      <c r="AL4">
        <f t="shared" si="0"/>
        <v>2052</v>
      </c>
      <c r="AM4">
        <f t="shared" si="0"/>
        <v>2053</v>
      </c>
      <c r="AN4">
        <f t="shared" si="0"/>
        <v>2054</v>
      </c>
      <c r="AO4">
        <f t="shared" si="0"/>
        <v>2055</v>
      </c>
      <c r="AP4">
        <f t="shared" si="0"/>
        <v>2056</v>
      </c>
      <c r="AQ4">
        <f t="shared" si="0"/>
        <v>2057</v>
      </c>
      <c r="AR4">
        <f t="shared" si="0"/>
        <v>2058</v>
      </c>
      <c r="AS4">
        <f t="shared" si="0"/>
        <v>2059</v>
      </c>
      <c r="AT4">
        <f t="shared" si="0"/>
        <v>2060</v>
      </c>
    </row>
    <row r="5" spans="2:46" x14ac:dyDescent="0.2">
      <c r="D5" t="s">
        <v>53</v>
      </c>
      <c r="E5"/>
      <c r="L5" s="30">
        <f>K6+1</f>
        <v>46023</v>
      </c>
      <c r="M5" s="30">
        <f t="shared" ref="M5:AT5" si="1">L6+1</f>
        <v>46388</v>
      </c>
      <c r="N5" s="30">
        <f t="shared" si="1"/>
        <v>46753</v>
      </c>
      <c r="O5" s="30">
        <f t="shared" si="1"/>
        <v>47119</v>
      </c>
      <c r="P5" s="30">
        <f t="shared" si="1"/>
        <v>47484</v>
      </c>
      <c r="Q5" s="30">
        <f t="shared" si="1"/>
        <v>47849</v>
      </c>
      <c r="R5" s="30">
        <f t="shared" si="1"/>
        <v>48214</v>
      </c>
      <c r="S5" s="30">
        <f t="shared" si="1"/>
        <v>48580</v>
      </c>
      <c r="T5" s="30">
        <f t="shared" si="1"/>
        <v>48945</v>
      </c>
      <c r="U5" s="30">
        <f t="shared" si="1"/>
        <v>49310</v>
      </c>
      <c r="V5" s="30">
        <f t="shared" si="1"/>
        <v>49675</v>
      </c>
      <c r="W5" s="30">
        <f t="shared" si="1"/>
        <v>50041</v>
      </c>
      <c r="X5" s="30">
        <f t="shared" si="1"/>
        <v>50406</v>
      </c>
      <c r="Y5" s="30">
        <f t="shared" si="1"/>
        <v>50771</v>
      </c>
      <c r="Z5" s="30">
        <f t="shared" si="1"/>
        <v>51136</v>
      </c>
      <c r="AA5" s="30">
        <f t="shared" si="1"/>
        <v>51502</v>
      </c>
      <c r="AB5" s="30">
        <f t="shared" si="1"/>
        <v>51867</v>
      </c>
      <c r="AC5" s="30">
        <f t="shared" si="1"/>
        <v>52232</v>
      </c>
      <c r="AD5" s="30">
        <f t="shared" si="1"/>
        <v>52597</v>
      </c>
      <c r="AE5" s="30">
        <f t="shared" si="1"/>
        <v>52963</v>
      </c>
      <c r="AF5" s="30">
        <f t="shared" si="1"/>
        <v>53328</v>
      </c>
      <c r="AG5" s="30">
        <f t="shared" si="1"/>
        <v>53693</v>
      </c>
      <c r="AH5" s="30">
        <f t="shared" si="1"/>
        <v>54058</v>
      </c>
      <c r="AI5" s="30">
        <f t="shared" si="1"/>
        <v>54424</v>
      </c>
      <c r="AJ5" s="30">
        <f t="shared" si="1"/>
        <v>54789</v>
      </c>
      <c r="AK5" s="30">
        <f t="shared" si="1"/>
        <v>55154</v>
      </c>
      <c r="AL5" s="30">
        <f t="shared" si="1"/>
        <v>55519</v>
      </c>
      <c r="AM5" s="30">
        <f t="shared" si="1"/>
        <v>55885</v>
      </c>
      <c r="AN5" s="30">
        <f t="shared" si="1"/>
        <v>56250</v>
      </c>
      <c r="AO5" s="30">
        <f t="shared" si="1"/>
        <v>56615</v>
      </c>
      <c r="AP5" s="30">
        <f t="shared" si="1"/>
        <v>56980</v>
      </c>
      <c r="AQ5" s="30">
        <f t="shared" si="1"/>
        <v>57346</v>
      </c>
      <c r="AR5" s="30">
        <f t="shared" si="1"/>
        <v>57711</v>
      </c>
      <c r="AS5" s="30">
        <f t="shared" si="1"/>
        <v>58076</v>
      </c>
      <c r="AT5" s="30">
        <f t="shared" si="1"/>
        <v>58441</v>
      </c>
    </row>
    <row r="6" spans="2:46" x14ac:dyDescent="0.2">
      <c r="D6" t="s">
        <v>54</v>
      </c>
      <c r="E6"/>
      <c r="K6" s="31">
        <f>Financial_Close</f>
        <v>46022</v>
      </c>
      <c r="L6" s="30">
        <f>EOMONTH(L5,12-1)</f>
        <v>46387</v>
      </c>
      <c r="M6" s="30">
        <f t="shared" ref="M6:AO6" si="2">EOMONTH(M5,12-1)</f>
        <v>46752</v>
      </c>
      <c r="N6" s="30">
        <f t="shared" si="2"/>
        <v>47118</v>
      </c>
      <c r="O6" s="30">
        <f t="shared" si="2"/>
        <v>47483</v>
      </c>
      <c r="P6" s="30">
        <f t="shared" si="2"/>
        <v>47848</v>
      </c>
      <c r="Q6" s="30">
        <f t="shared" si="2"/>
        <v>48213</v>
      </c>
      <c r="R6" s="30">
        <f t="shared" si="2"/>
        <v>48579</v>
      </c>
      <c r="S6" s="30">
        <f t="shared" si="2"/>
        <v>48944</v>
      </c>
      <c r="T6" s="30">
        <f t="shared" si="2"/>
        <v>49309</v>
      </c>
      <c r="U6" s="30">
        <f t="shared" si="2"/>
        <v>49674</v>
      </c>
      <c r="V6" s="30">
        <f t="shared" si="2"/>
        <v>50040</v>
      </c>
      <c r="W6" s="30">
        <f t="shared" si="2"/>
        <v>50405</v>
      </c>
      <c r="X6" s="30">
        <f t="shared" si="2"/>
        <v>50770</v>
      </c>
      <c r="Y6" s="30">
        <f t="shared" si="2"/>
        <v>51135</v>
      </c>
      <c r="Z6" s="30">
        <f t="shared" si="2"/>
        <v>51501</v>
      </c>
      <c r="AA6" s="30">
        <f t="shared" si="2"/>
        <v>51866</v>
      </c>
      <c r="AB6" s="30">
        <f t="shared" si="2"/>
        <v>52231</v>
      </c>
      <c r="AC6" s="30">
        <f t="shared" si="2"/>
        <v>52596</v>
      </c>
      <c r="AD6" s="30">
        <f t="shared" si="2"/>
        <v>52962</v>
      </c>
      <c r="AE6" s="30">
        <f t="shared" si="2"/>
        <v>53327</v>
      </c>
      <c r="AF6" s="30">
        <f t="shared" si="2"/>
        <v>53692</v>
      </c>
      <c r="AG6" s="30">
        <f t="shared" si="2"/>
        <v>54057</v>
      </c>
      <c r="AH6" s="30">
        <f t="shared" si="2"/>
        <v>54423</v>
      </c>
      <c r="AI6" s="30">
        <f t="shared" si="2"/>
        <v>54788</v>
      </c>
      <c r="AJ6" s="30">
        <f t="shared" si="2"/>
        <v>55153</v>
      </c>
      <c r="AK6" s="30">
        <f t="shared" si="2"/>
        <v>55518</v>
      </c>
      <c r="AL6" s="30">
        <f t="shared" si="2"/>
        <v>55884</v>
      </c>
      <c r="AM6" s="30">
        <f t="shared" si="2"/>
        <v>56249</v>
      </c>
      <c r="AN6" s="30">
        <f t="shared" si="2"/>
        <v>56614</v>
      </c>
      <c r="AO6" s="30">
        <f t="shared" si="2"/>
        <v>56979</v>
      </c>
      <c r="AP6" s="30">
        <f t="shared" ref="AP6" si="3">EOMONTH(AP5,12-1)</f>
        <v>57345</v>
      </c>
      <c r="AQ6" s="30">
        <f t="shared" ref="AQ6" si="4">EOMONTH(AQ5,12-1)</f>
        <v>57710</v>
      </c>
      <c r="AR6" s="30">
        <f t="shared" ref="AR6" si="5">EOMONTH(AR5,12-1)</f>
        <v>58075</v>
      </c>
      <c r="AS6" s="30">
        <f t="shared" ref="AS6" si="6">EOMONTH(AS5,12-1)</f>
        <v>58440</v>
      </c>
      <c r="AT6" s="30">
        <f t="shared" ref="AT6" si="7">EOMONTH(AT5,12-1)</f>
        <v>58806</v>
      </c>
    </row>
    <row r="7" spans="2:46" x14ac:dyDescent="0.2">
      <c r="E7"/>
    </row>
    <row r="8" spans="2:46" ht="20" x14ac:dyDescent="0.25">
      <c r="D8" s="29" t="s">
        <v>55</v>
      </c>
      <c r="E8"/>
      <c r="G8" s="32" t="s">
        <v>57</v>
      </c>
      <c r="H8" s="32" t="s">
        <v>58</v>
      </c>
    </row>
    <row r="9" spans="2:46" outlineLevel="1" x14ac:dyDescent="0.2">
      <c r="D9" t="s">
        <v>2</v>
      </c>
      <c r="E9" s="11" t="s">
        <v>56</v>
      </c>
      <c r="H9" s="31">
        <f>Financial_Close</f>
        <v>46022</v>
      </c>
      <c r="J9" s="33">
        <f>SUM(K9:AT9)</f>
        <v>1</v>
      </c>
      <c r="K9" s="13">
        <f>IF($H$9=K6, 1, 0)</f>
        <v>1</v>
      </c>
      <c r="L9" s="13">
        <f t="shared" ref="L9:V9" si="8">IF($H$9=L6, 1, 0)</f>
        <v>0</v>
      </c>
      <c r="M9" s="13">
        <f t="shared" si="8"/>
        <v>0</v>
      </c>
      <c r="N9" s="13">
        <f t="shared" si="8"/>
        <v>0</v>
      </c>
      <c r="O9" s="13">
        <f t="shared" si="8"/>
        <v>0</v>
      </c>
      <c r="P9" s="13">
        <f t="shared" si="8"/>
        <v>0</v>
      </c>
      <c r="Q9" s="13">
        <f t="shared" si="8"/>
        <v>0</v>
      </c>
      <c r="R9" s="13">
        <f t="shared" si="8"/>
        <v>0</v>
      </c>
      <c r="S9" s="13">
        <f t="shared" si="8"/>
        <v>0</v>
      </c>
      <c r="T9" s="13">
        <f t="shared" si="8"/>
        <v>0</v>
      </c>
      <c r="U9" s="13">
        <f t="shared" si="8"/>
        <v>0</v>
      </c>
      <c r="V9" s="13">
        <f t="shared" si="8"/>
        <v>0</v>
      </c>
      <c r="W9" s="13">
        <f t="shared" ref="W9:AT9" si="9">IF($H$9=W6, 1, 0)</f>
        <v>0</v>
      </c>
      <c r="X9" s="13">
        <f t="shared" si="9"/>
        <v>0</v>
      </c>
      <c r="Y9" s="13">
        <f t="shared" si="9"/>
        <v>0</v>
      </c>
      <c r="Z9" s="13">
        <f t="shared" si="9"/>
        <v>0</v>
      </c>
      <c r="AA9" s="13">
        <f t="shared" si="9"/>
        <v>0</v>
      </c>
      <c r="AB9" s="13">
        <f t="shared" si="9"/>
        <v>0</v>
      </c>
      <c r="AC9" s="13">
        <f t="shared" si="9"/>
        <v>0</v>
      </c>
      <c r="AD9" s="13">
        <f t="shared" si="9"/>
        <v>0</v>
      </c>
      <c r="AE9" s="13">
        <f t="shared" si="9"/>
        <v>0</v>
      </c>
      <c r="AF9" s="13">
        <f t="shared" si="9"/>
        <v>0</v>
      </c>
      <c r="AG9" s="13">
        <f t="shared" si="9"/>
        <v>0</v>
      </c>
      <c r="AH9" s="13">
        <f t="shared" si="9"/>
        <v>0</v>
      </c>
      <c r="AI9" s="13">
        <f t="shared" si="9"/>
        <v>0</v>
      </c>
      <c r="AJ9" s="13">
        <f t="shared" si="9"/>
        <v>0</v>
      </c>
      <c r="AK9" s="13">
        <f t="shared" si="9"/>
        <v>0</v>
      </c>
      <c r="AL9" s="13">
        <f t="shared" si="9"/>
        <v>0</v>
      </c>
      <c r="AM9" s="13">
        <f t="shared" si="9"/>
        <v>0</v>
      </c>
      <c r="AN9" s="13">
        <f t="shared" si="9"/>
        <v>0</v>
      </c>
      <c r="AO9" s="13">
        <f t="shared" si="9"/>
        <v>0</v>
      </c>
      <c r="AP9" s="13">
        <f t="shared" si="9"/>
        <v>0</v>
      </c>
      <c r="AQ9" s="13">
        <f t="shared" si="9"/>
        <v>0</v>
      </c>
      <c r="AR9" s="13">
        <f t="shared" si="9"/>
        <v>0</v>
      </c>
      <c r="AS9" s="13">
        <f t="shared" si="9"/>
        <v>0</v>
      </c>
      <c r="AT9" s="13">
        <f t="shared" si="9"/>
        <v>0</v>
      </c>
    </row>
    <row r="10" spans="2:46" outlineLevel="1" x14ac:dyDescent="0.2">
      <c r="D10" t="s">
        <v>59</v>
      </c>
      <c r="E10" s="11" t="s">
        <v>56</v>
      </c>
      <c r="G10" s="31">
        <f>COD</f>
        <v>46023</v>
      </c>
      <c r="H10" s="31">
        <f>EOMONTH(Calculations!G10,Inputs_TI!F6*12-1)</f>
        <v>56979</v>
      </c>
      <c r="J10" s="33">
        <f t="shared" ref="J10:J13" si="10">SUM(K10:AT10)</f>
        <v>30</v>
      </c>
      <c r="K10" s="13">
        <f>IF(AND(K$5&gt;=$G10, K$6&lt;=$H10), 1,0)</f>
        <v>0</v>
      </c>
      <c r="L10" s="13">
        <f t="shared" ref="L10:AT13" si="11">IF(AND(L$5&gt;=$G10, L$6&lt;=$H10), 1,0)</f>
        <v>1</v>
      </c>
      <c r="M10" s="13">
        <f t="shared" si="11"/>
        <v>1</v>
      </c>
      <c r="N10" s="13">
        <f t="shared" si="11"/>
        <v>1</v>
      </c>
      <c r="O10" s="13">
        <f t="shared" si="11"/>
        <v>1</v>
      </c>
      <c r="P10" s="13">
        <f t="shared" si="11"/>
        <v>1</v>
      </c>
      <c r="Q10" s="13">
        <f t="shared" si="11"/>
        <v>1</v>
      </c>
      <c r="R10" s="13">
        <f t="shared" si="11"/>
        <v>1</v>
      </c>
      <c r="S10" s="13">
        <f t="shared" si="11"/>
        <v>1</v>
      </c>
      <c r="T10" s="13">
        <f t="shared" si="11"/>
        <v>1</v>
      </c>
      <c r="U10" s="13">
        <f t="shared" si="11"/>
        <v>1</v>
      </c>
      <c r="V10" s="13">
        <f t="shared" si="11"/>
        <v>1</v>
      </c>
      <c r="W10" s="13">
        <f t="shared" si="11"/>
        <v>1</v>
      </c>
      <c r="X10" s="13">
        <f t="shared" si="11"/>
        <v>1</v>
      </c>
      <c r="Y10" s="13">
        <f t="shared" si="11"/>
        <v>1</v>
      </c>
      <c r="Z10" s="13">
        <f t="shared" si="11"/>
        <v>1</v>
      </c>
      <c r="AA10" s="13">
        <f t="shared" si="11"/>
        <v>1</v>
      </c>
      <c r="AB10" s="13">
        <f t="shared" si="11"/>
        <v>1</v>
      </c>
      <c r="AC10" s="13">
        <f t="shared" si="11"/>
        <v>1</v>
      </c>
      <c r="AD10" s="13">
        <f t="shared" si="11"/>
        <v>1</v>
      </c>
      <c r="AE10" s="13">
        <f t="shared" si="11"/>
        <v>1</v>
      </c>
      <c r="AF10" s="13">
        <f t="shared" si="11"/>
        <v>1</v>
      </c>
      <c r="AG10" s="13">
        <f t="shared" si="11"/>
        <v>1</v>
      </c>
      <c r="AH10" s="13">
        <f t="shared" si="11"/>
        <v>1</v>
      </c>
      <c r="AI10" s="13">
        <f t="shared" si="11"/>
        <v>1</v>
      </c>
      <c r="AJ10" s="13">
        <f t="shared" si="11"/>
        <v>1</v>
      </c>
      <c r="AK10" s="13">
        <f t="shared" si="11"/>
        <v>1</v>
      </c>
      <c r="AL10" s="13">
        <f t="shared" si="11"/>
        <v>1</v>
      </c>
      <c r="AM10" s="13">
        <f t="shared" si="11"/>
        <v>1</v>
      </c>
      <c r="AN10" s="13">
        <f t="shared" si="11"/>
        <v>1</v>
      </c>
      <c r="AO10" s="13">
        <f t="shared" si="11"/>
        <v>1</v>
      </c>
      <c r="AP10" s="13">
        <f t="shared" si="11"/>
        <v>0</v>
      </c>
      <c r="AQ10" s="13">
        <f t="shared" si="11"/>
        <v>0</v>
      </c>
      <c r="AR10" s="13">
        <f t="shared" si="11"/>
        <v>0</v>
      </c>
      <c r="AS10" s="13">
        <f t="shared" si="11"/>
        <v>0</v>
      </c>
      <c r="AT10" s="13">
        <f t="shared" si="11"/>
        <v>0</v>
      </c>
    </row>
    <row r="11" spans="2:46" outlineLevel="1" x14ac:dyDescent="0.2">
      <c r="D11" t="s">
        <v>60</v>
      </c>
      <c r="E11" s="11" t="s">
        <v>56</v>
      </c>
      <c r="G11" s="31">
        <f>COD</f>
        <v>46023</v>
      </c>
      <c r="H11" s="31">
        <f>EOMONTH(Calculations!G11,Inputs_TI!F16*12-1)</f>
        <v>56979</v>
      </c>
      <c r="J11" s="33">
        <f t="shared" si="10"/>
        <v>30</v>
      </c>
      <c r="K11" s="13">
        <f t="shared" ref="K11:K13" si="12">IF(AND(K$5&gt;=$G11, K$6&lt;=$H11), 1,0)</f>
        <v>0</v>
      </c>
      <c r="L11" s="13">
        <f t="shared" si="11"/>
        <v>1</v>
      </c>
      <c r="M11" s="13">
        <f t="shared" si="11"/>
        <v>1</v>
      </c>
      <c r="N11" s="13">
        <f t="shared" si="11"/>
        <v>1</v>
      </c>
      <c r="O11" s="13">
        <f t="shared" si="11"/>
        <v>1</v>
      </c>
      <c r="P11" s="13">
        <f t="shared" si="11"/>
        <v>1</v>
      </c>
      <c r="Q11" s="13">
        <f t="shared" si="11"/>
        <v>1</v>
      </c>
      <c r="R11" s="13">
        <f t="shared" si="11"/>
        <v>1</v>
      </c>
      <c r="S11" s="13">
        <f t="shared" si="11"/>
        <v>1</v>
      </c>
      <c r="T11" s="13">
        <f t="shared" si="11"/>
        <v>1</v>
      </c>
      <c r="U11" s="13">
        <f t="shared" si="11"/>
        <v>1</v>
      </c>
      <c r="V11" s="13">
        <f t="shared" si="11"/>
        <v>1</v>
      </c>
      <c r="W11" s="13">
        <f t="shared" si="11"/>
        <v>1</v>
      </c>
      <c r="X11" s="13">
        <f t="shared" si="11"/>
        <v>1</v>
      </c>
      <c r="Y11" s="13">
        <f t="shared" si="11"/>
        <v>1</v>
      </c>
      <c r="Z11" s="13">
        <f t="shared" si="11"/>
        <v>1</v>
      </c>
      <c r="AA11" s="13">
        <f t="shared" si="11"/>
        <v>1</v>
      </c>
      <c r="AB11" s="13">
        <f t="shared" si="11"/>
        <v>1</v>
      </c>
      <c r="AC11" s="13">
        <f t="shared" si="11"/>
        <v>1</v>
      </c>
      <c r="AD11" s="13">
        <f t="shared" si="11"/>
        <v>1</v>
      </c>
      <c r="AE11" s="13">
        <f t="shared" si="11"/>
        <v>1</v>
      </c>
      <c r="AF11" s="13">
        <f t="shared" si="11"/>
        <v>1</v>
      </c>
      <c r="AG11" s="13">
        <f t="shared" si="11"/>
        <v>1</v>
      </c>
      <c r="AH11" s="13">
        <f t="shared" si="11"/>
        <v>1</v>
      </c>
      <c r="AI11" s="13">
        <f t="shared" si="11"/>
        <v>1</v>
      </c>
      <c r="AJ11" s="13">
        <f t="shared" si="11"/>
        <v>1</v>
      </c>
      <c r="AK11" s="13">
        <f t="shared" si="11"/>
        <v>1</v>
      </c>
      <c r="AL11" s="13">
        <f t="shared" si="11"/>
        <v>1</v>
      </c>
      <c r="AM11" s="13">
        <f t="shared" si="11"/>
        <v>1</v>
      </c>
      <c r="AN11" s="13">
        <f t="shared" si="11"/>
        <v>1</v>
      </c>
      <c r="AO11" s="13">
        <f t="shared" si="11"/>
        <v>1</v>
      </c>
      <c r="AP11" s="13">
        <f t="shared" si="11"/>
        <v>0</v>
      </c>
      <c r="AQ11" s="13">
        <f t="shared" si="11"/>
        <v>0</v>
      </c>
      <c r="AR11" s="13">
        <f t="shared" si="11"/>
        <v>0</v>
      </c>
      <c r="AS11" s="13">
        <f t="shared" si="11"/>
        <v>0</v>
      </c>
      <c r="AT11" s="13">
        <f t="shared" si="11"/>
        <v>0</v>
      </c>
    </row>
    <row r="12" spans="2:46" outlineLevel="1" x14ac:dyDescent="0.2">
      <c r="D12" t="s">
        <v>61</v>
      </c>
      <c r="E12" s="11" t="s">
        <v>56</v>
      </c>
      <c r="G12" s="31">
        <f>COD</f>
        <v>46023</v>
      </c>
      <c r="H12" s="31">
        <f>EOMONTH(Calculations!G12,Inputs_TI!F29*12-1)</f>
        <v>53327</v>
      </c>
      <c r="J12" s="33">
        <f t="shared" si="10"/>
        <v>20</v>
      </c>
      <c r="K12" s="13">
        <f t="shared" si="12"/>
        <v>0</v>
      </c>
      <c r="L12" s="13">
        <f t="shared" si="11"/>
        <v>1</v>
      </c>
      <c r="M12" s="13">
        <f t="shared" si="11"/>
        <v>1</v>
      </c>
      <c r="N12" s="13">
        <f t="shared" si="11"/>
        <v>1</v>
      </c>
      <c r="O12" s="13">
        <f t="shared" si="11"/>
        <v>1</v>
      </c>
      <c r="P12" s="13">
        <f t="shared" si="11"/>
        <v>1</v>
      </c>
      <c r="Q12" s="13">
        <f t="shared" si="11"/>
        <v>1</v>
      </c>
      <c r="R12" s="13">
        <f t="shared" si="11"/>
        <v>1</v>
      </c>
      <c r="S12" s="13">
        <f t="shared" si="11"/>
        <v>1</v>
      </c>
      <c r="T12" s="13">
        <f t="shared" si="11"/>
        <v>1</v>
      </c>
      <c r="U12" s="13">
        <f t="shared" si="11"/>
        <v>1</v>
      </c>
      <c r="V12" s="13">
        <f t="shared" si="11"/>
        <v>1</v>
      </c>
      <c r="W12" s="13">
        <f t="shared" si="11"/>
        <v>1</v>
      </c>
      <c r="X12" s="13">
        <f t="shared" si="11"/>
        <v>1</v>
      </c>
      <c r="Y12" s="13">
        <f t="shared" si="11"/>
        <v>1</v>
      </c>
      <c r="Z12" s="13">
        <f t="shared" si="11"/>
        <v>1</v>
      </c>
      <c r="AA12" s="13">
        <f t="shared" si="11"/>
        <v>1</v>
      </c>
      <c r="AB12" s="13">
        <f t="shared" si="11"/>
        <v>1</v>
      </c>
      <c r="AC12" s="13">
        <f t="shared" si="11"/>
        <v>1</v>
      </c>
      <c r="AD12" s="13">
        <f t="shared" si="11"/>
        <v>1</v>
      </c>
      <c r="AE12" s="13">
        <f t="shared" si="11"/>
        <v>1</v>
      </c>
      <c r="AF12" s="13">
        <f t="shared" si="11"/>
        <v>0</v>
      </c>
      <c r="AG12" s="13">
        <f t="shared" si="11"/>
        <v>0</v>
      </c>
      <c r="AH12" s="13">
        <f t="shared" si="11"/>
        <v>0</v>
      </c>
      <c r="AI12" s="13">
        <f t="shared" si="11"/>
        <v>0</v>
      </c>
      <c r="AJ12" s="13">
        <f t="shared" si="11"/>
        <v>0</v>
      </c>
      <c r="AK12" s="13">
        <f t="shared" si="11"/>
        <v>0</v>
      </c>
      <c r="AL12" s="13">
        <f t="shared" si="11"/>
        <v>0</v>
      </c>
      <c r="AM12" s="13">
        <f t="shared" si="11"/>
        <v>0</v>
      </c>
      <c r="AN12" s="13">
        <f t="shared" si="11"/>
        <v>0</v>
      </c>
      <c r="AO12" s="13">
        <f t="shared" si="11"/>
        <v>0</v>
      </c>
      <c r="AP12" s="13">
        <f t="shared" si="11"/>
        <v>0</v>
      </c>
      <c r="AQ12" s="13">
        <f t="shared" si="11"/>
        <v>0</v>
      </c>
      <c r="AR12" s="13">
        <f t="shared" si="11"/>
        <v>0</v>
      </c>
      <c r="AS12" s="13">
        <f t="shared" si="11"/>
        <v>0</v>
      </c>
      <c r="AT12" s="13">
        <f t="shared" si="11"/>
        <v>0</v>
      </c>
    </row>
    <row r="13" spans="2:46" outlineLevel="1" x14ac:dyDescent="0.2">
      <c r="D13" t="s">
        <v>62</v>
      </c>
      <c r="E13" s="11" t="s">
        <v>56</v>
      </c>
      <c r="G13" s="31">
        <f>COD</f>
        <v>46023</v>
      </c>
      <c r="H13" s="31">
        <f>EOMONTH(Calculations!G13,Inputs_TI!F34*12-1)</f>
        <v>53327</v>
      </c>
      <c r="J13" s="33">
        <f t="shared" si="10"/>
        <v>20</v>
      </c>
      <c r="K13" s="13">
        <f t="shared" si="12"/>
        <v>0</v>
      </c>
      <c r="L13" s="13">
        <f t="shared" si="11"/>
        <v>1</v>
      </c>
      <c r="M13" s="13">
        <f t="shared" si="11"/>
        <v>1</v>
      </c>
      <c r="N13" s="13">
        <f t="shared" si="11"/>
        <v>1</v>
      </c>
      <c r="O13" s="13">
        <f t="shared" si="11"/>
        <v>1</v>
      </c>
      <c r="P13" s="13">
        <f t="shared" si="11"/>
        <v>1</v>
      </c>
      <c r="Q13" s="13">
        <f t="shared" si="11"/>
        <v>1</v>
      </c>
      <c r="R13" s="13">
        <f t="shared" si="11"/>
        <v>1</v>
      </c>
      <c r="S13" s="13">
        <f t="shared" si="11"/>
        <v>1</v>
      </c>
      <c r="T13" s="13">
        <f t="shared" si="11"/>
        <v>1</v>
      </c>
      <c r="U13" s="13">
        <f t="shared" si="11"/>
        <v>1</v>
      </c>
      <c r="V13" s="13">
        <f t="shared" si="11"/>
        <v>1</v>
      </c>
      <c r="W13" s="13">
        <f t="shared" si="11"/>
        <v>1</v>
      </c>
      <c r="X13" s="13">
        <f t="shared" si="11"/>
        <v>1</v>
      </c>
      <c r="Y13" s="13">
        <f t="shared" si="11"/>
        <v>1</v>
      </c>
      <c r="Z13" s="13">
        <f t="shared" si="11"/>
        <v>1</v>
      </c>
      <c r="AA13" s="13">
        <f t="shared" si="11"/>
        <v>1</v>
      </c>
      <c r="AB13" s="13">
        <f t="shared" si="11"/>
        <v>1</v>
      </c>
      <c r="AC13" s="13">
        <f t="shared" si="11"/>
        <v>1</v>
      </c>
      <c r="AD13" s="13">
        <f t="shared" si="11"/>
        <v>1</v>
      </c>
      <c r="AE13" s="13">
        <f t="shared" si="11"/>
        <v>1</v>
      </c>
      <c r="AF13" s="13">
        <f t="shared" si="11"/>
        <v>0</v>
      </c>
      <c r="AG13" s="13">
        <f t="shared" si="11"/>
        <v>0</v>
      </c>
      <c r="AH13" s="13">
        <f t="shared" si="11"/>
        <v>0</v>
      </c>
      <c r="AI13" s="13">
        <f t="shared" si="11"/>
        <v>0</v>
      </c>
      <c r="AJ13" s="13">
        <f t="shared" si="11"/>
        <v>0</v>
      </c>
      <c r="AK13" s="13">
        <f t="shared" si="11"/>
        <v>0</v>
      </c>
      <c r="AL13" s="13">
        <f t="shared" si="11"/>
        <v>0</v>
      </c>
      <c r="AM13" s="13">
        <f t="shared" si="11"/>
        <v>0</v>
      </c>
      <c r="AN13" s="13">
        <f t="shared" si="11"/>
        <v>0</v>
      </c>
      <c r="AO13" s="13">
        <f t="shared" si="11"/>
        <v>0</v>
      </c>
      <c r="AP13" s="13">
        <f t="shared" si="11"/>
        <v>0</v>
      </c>
      <c r="AQ13" s="13">
        <f t="shared" si="11"/>
        <v>0</v>
      </c>
      <c r="AR13" s="13">
        <f t="shared" si="11"/>
        <v>0</v>
      </c>
      <c r="AS13" s="13">
        <f t="shared" si="11"/>
        <v>0</v>
      </c>
      <c r="AT13" s="13">
        <f t="shared" si="11"/>
        <v>0</v>
      </c>
    </row>
    <row r="15" spans="2:46" ht="20" x14ac:dyDescent="0.25">
      <c r="C15" s="29" t="s">
        <v>63</v>
      </c>
    </row>
    <row r="16" spans="2:46" outlineLevel="1" x14ac:dyDescent="0.2">
      <c r="D16" t="s">
        <v>64</v>
      </c>
      <c r="E16" s="11" t="s">
        <v>66</v>
      </c>
      <c r="G16" s="35">
        <f>Inputs_TI!F18</f>
        <v>2.5000000000000001E-2</v>
      </c>
      <c r="K16" s="36">
        <v>1</v>
      </c>
      <c r="L16" s="37">
        <f>K16*(1+$G16)</f>
        <v>1.0249999999999999</v>
      </c>
      <c r="M16" s="37">
        <f t="shared" ref="M16:AT16" si="13">L16*(1+$G16)</f>
        <v>1.0506249999999999</v>
      </c>
      <c r="N16" s="37">
        <f t="shared" si="13"/>
        <v>1.0768906249999999</v>
      </c>
      <c r="O16" s="37">
        <f t="shared" si="13"/>
        <v>1.1038128906249998</v>
      </c>
      <c r="P16" s="37">
        <f t="shared" si="13"/>
        <v>1.1314082128906247</v>
      </c>
      <c r="Q16" s="37">
        <f t="shared" si="13"/>
        <v>1.1596934182128902</v>
      </c>
      <c r="R16" s="37">
        <f t="shared" si="13"/>
        <v>1.1886857536682123</v>
      </c>
      <c r="S16" s="37">
        <f t="shared" si="13"/>
        <v>1.2184028975099175</v>
      </c>
      <c r="T16" s="37">
        <f t="shared" si="13"/>
        <v>1.2488629699476652</v>
      </c>
      <c r="U16" s="37">
        <f t="shared" si="13"/>
        <v>1.2800845441963566</v>
      </c>
      <c r="V16" s="37">
        <f t="shared" si="13"/>
        <v>1.3120866578012655</v>
      </c>
      <c r="W16" s="37">
        <f t="shared" si="13"/>
        <v>1.3448888242462971</v>
      </c>
      <c r="X16" s="37">
        <f t="shared" si="13"/>
        <v>1.3785110448524545</v>
      </c>
      <c r="Y16" s="37">
        <f t="shared" si="13"/>
        <v>1.4129738209737657</v>
      </c>
      <c r="Z16" s="37">
        <f t="shared" si="13"/>
        <v>1.4482981664981096</v>
      </c>
      <c r="AA16" s="37">
        <f t="shared" si="13"/>
        <v>1.4845056206605622</v>
      </c>
      <c r="AB16" s="37">
        <f t="shared" si="13"/>
        <v>1.5216182611770761</v>
      </c>
      <c r="AC16" s="37">
        <f t="shared" si="13"/>
        <v>1.5596587177065029</v>
      </c>
      <c r="AD16" s="37">
        <f t="shared" si="13"/>
        <v>1.5986501856491653</v>
      </c>
      <c r="AE16" s="37">
        <f t="shared" si="13"/>
        <v>1.6386164402903942</v>
      </c>
      <c r="AF16" s="37">
        <f t="shared" si="13"/>
        <v>1.6795818512976539</v>
      </c>
      <c r="AG16" s="37">
        <f t="shared" si="13"/>
        <v>1.721571397580095</v>
      </c>
      <c r="AH16" s="37">
        <f t="shared" si="13"/>
        <v>1.7646106825195973</v>
      </c>
      <c r="AI16" s="37">
        <f t="shared" si="13"/>
        <v>1.8087259495825871</v>
      </c>
      <c r="AJ16" s="37">
        <f t="shared" si="13"/>
        <v>1.8539440983221516</v>
      </c>
      <c r="AK16" s="37">
        <f t="shared" si="13"/>
        <v>1.9002927007802053</v>
      </c>
      <c r="AL16" s="37">
        <f t="shared" si="13"/>
        <v>1.9478000182997102</v>
      </c>
      <c r="AM16" s="37">
        <f t="shared" si="13"/>
        <v>1.9964950187572028</v>
      </c>
      <c r="AN16" s="37">
        <f t="shared" si="13"/>
        <v>2.0464073942261325</v>
      </c>
      <c r="AO16" s="37">
        <f t="shared" si="13"/>
        <v>2.0975675790817858</v>
      </c>
      <c r="AP16" s="37">
        <f t="shared" si="13"/>
        <v>2.1500067685588302</v>
      </c>
      <c r="AQ16" s="37">
        <f t="shared" si="13"/>
        <v>2.2037569377728006</v>
      </c>
      <c r="AR16" s="37">
        <f t="shared" si="13"/>
        <v>2.2588508612171205</v>
      </c>
      <c r="AS16" s="37">
        <f t="shared" si="13"/>
        <v>2.3153221327475482</v>
      </c>
      <c r="AT16" s="37">
        <f t="shared" si="13"/>
        <v>2.3732051860662366</v>
      </c>
    </row>
    <row r="17" spans="3:46" outlineLevel="1" x14ac:dyDescent="0.2">
      <c r="D17" t="s">
        <v>65</v>
      </c>
      <c r="E17" s="11" t="s">
        <v>66</v>
      </c>
      <c r="G17" s="35">
        <f>Inputs_TI!F25</f>
        <v>0.02</v>
      </c>
      <c r="K17" s="36">
        <v>1</v>
      </c>
      <c r="L17" s="37">
        <f>K17*(1+$G17)</f>
        <v>1.02</v>
      </c>
      <c r="M17" s="37">
        <f t="shared" ref="M17:AT17" si="14">L17*(1+$G17)</f>
        <v>1.0404</v>
      </c>
      <c r="N17" s="37">
        <f t="shared" si="14"/>
        <v>1.0612079999999999</v>
      </c>
      <c r="O17" s="37">
        <f t="shared" si="14"/>
        <v>1.08243216</v>
      </c>
      <c r="P17" s="37">
        <f t="shared" si="14"/>
        <v>1.1040808032</v>
      </c>
      <c r="Q17" s="37">
        <f t="shared" si="14"/>
        <v>1.1261624192640001</v>
      </c>
      <c r="R17" s="37">
        <f t="shared" si="14"/>
        <v>1.14868566764928</v>
      </c>
      <c r="S17" s="37">
        <f t="shared" si="14"/>
        <v>1.1716593810022657</v>
      </c>
      <c r="T17" s="37">
        <f t="shared" si="14"/>
        <v>1.1950925686223111</v>
      </c>
      <c r="U17" s="37">
        <f t="shared" si="14"/>
        <v>1.2189944199947573</v>
      </c>
      <c r="V17" s="37">
        <f t="shared" si="14"/>
        <v>1.2433743083946525</v>
      </c>
      <c r="W17" s="37">
        <f t="shared" si="14"/>
        <v>1.2682417945625455</v>
      </c>
      <c r="X17" s="37">
        <f t="shared" si="14"/>
        <v>1.2936066304537963</v>
      </c>
      <c r="Y17" s="37">
        <f t="shared" si="14"/>
        <v>1.3194787630628724</v>
      </c>
      <c r="Z17" s="37">
        <f t="shared" si="14"/>
        <v>1.3458683383241299</v>
      </c>
      <c r="AA17" s="37">
        <f t="shared" si="14"/>
        <v>1.3727857050906125</v>
      </c>
      <c r="AB17" s="37">
        <f t="shared" si="14"/>
        <v>1.4002414191924248</v>
      </c>
      <c r="AC17" s="37">
        <f t="shared" si="14"/>
        <v>1.4282462475762734</v>
      </c>
      <c r="AD17" s="37">
        <f t="shared" si="14"/>
        <v>1.4568111725277988</v>
      </c>
      <c r="AE17" s="37">
        <f t="shared" si="14"/>
        <v>1.4859473959783549</v>
      </c>
      <c r="AF17" s="37">
        <f t="shared" si="14"/>
        <v>1.5156663438979221</v>
      </c>
      <c r="AG17" s="37">
        <f t="shared" si="14"/>
        <v>1.5459796707758806</v>
      </c>
      <c r="AH17" s="37">
        <f t="shared" si="14"/>
        <v>1.5768992641913981</v>
      </c>
      <c r="AI17" s="37">
        <f t="shared" si="14"/>
        <v>1.6084372494752261</v>
      </c>
      <c r="AJ17" s="37">
        <f t="shared" si="14"/>
        <v>1.6406059944647307</v>
      </c>
      <c r="AK17" s="37">
        <f t="shared" si="14"/>
        <v>1.6734181143540252</v>
      </c>
      <c r="AL17" s="37">
        <f t="shared" si="14"/>
        <v>1.7068864766411058</v>
      </c>
      <c r="AM17" s="37">
        <f t="shared" si="14"/>
        <v>1.7410242061739281</v>
      </c>
      <c r="AN17" s="37">
        <f t="shared" si="14"/>
        <v>1.7758446902974065</v>
      </c>
      <c r="AO17" s="37">
        <f t="shared" si="14"/>
        <v>1.8113615841033548</v>
      </c>
      <c r="AP17" s="37">
        <f t="shared" si="14"/>
        <v>1.8475888157854219</v>
      </c>
      <c r="AQ17" s="37">
        <f t="shared" si="14"/>
        <v>1.8845405921011305</v>
      </c>
      <c r="AR17" s="37">
        <f t="shared" si="14"/>
        <v>1.9222314039431532</v>
      </c>
      <c r="AS17" s="37">
        <f t="shared" si="14"/>
        <v>1.9606760320220162</v>
      </c>
      <c r="AT17" s="37">
        <f t="shared" si="14"/>
        <v>1.9998895526624565</v>
      </c>
    </row>
    <row r="19" spans="3:46" ht="20" x14ac:dyDescent="0.25">
      <c r="C19" s="29" t="s">
        <v>67</v>
      </c>
    </row>
    <row r="20" spans="3:46" x14ac:dyDescent="0.2">
      <c r="G20" s="32" t="s">
        <v>71</v>
      </c>
      <c r="H20" s="32" t="s">
        <v>72</v>
      </c>
    </row>
    <row r="21" spans="3:46" x14ac:dyDescent="0.2">
      <c r="D21" t="s">
        <v>68</v>
      </c>
      <c r="E21" s="11" t="s">
        <v>70</v>
      </c>
      <c r="G21" s="38">
        <f>Inputs_TI!F11</f>
        <v>315000</v>
      </c>
      <c r="H21" s="35">
        <f>Inputs_TI!F13</f>
        <v>0.99</v>
      </c>
      <c r="J21" s="33">
        <f t="shared" ref="J21" si="15">SUM(K21:AT21)</f>
        <v>9355500</v>
      </c>
      <c r="K21" s="7">
        <f>$G21*$H21*K10</f>
        <v>0</v>
      </c>
      <c r="L21" s="7">
        <f t="shared" ref="L21:AT21" si="16">$G21*$H21*L10</f>
        <v>311850</v>
      </c>
      <c r="M21" s="7">
        <f t="shared" si="16"/>
        <v>311850</v>
      </c>
      <c r="N21" s="7">
        <f t="shared" si="16"/>
        <v>311850</v>
      </c>
      <c r="O21" s="7">
        <f t="shared" si="16"/>
        <v>311850</v>
      </c>
      <c r="P21" s="7">
        <f t="shared" si="16"/>
        <v>311850</v>
      </c>
      <c r="Q21" s="7">
        <f t="shared" si="16"/>
        <v>311850</v>
      </c>
      <c r="R21" s="7">
        <f t="shared" si="16"/>
        <v>311850</v>
      </c>
      <c r="S21" s="7">
        <f t="shared" si="16"/>
        <v>311850</v>
      </c>
      <c r="T21" s="7">
        <f t="shared" si="16"/>
        <v>311850</v>
      </c>
      <c r="U21" s="7">
        <f t="shared" si="16"/>
        <v>311850</v>
      </c>
      <c r="V21" s="7">
        <f t="shared" si="16"/>
        <v>311850</v>
      </c>
      <c r="W21" s="7">
        <f t="shared" si="16"/>
        <v>311850</v>
      </c>
      <c r="X21" s="7">
        <f t="shared" si="16"/>
        <v>311850</v>
      </c>
      <c r="Y21" s="7">
        <f t="shared" si="16"/>
        <v>311850</v>
      </c>
      <c r="Z21" s="7">
        <f t="shared" si="16"/>
        <v>311850</v>
      </c>
      <c r="AA21" s="7">
        <f t="shared" si="16"/>
        <v>311850</v>
      </c>
      <c r="AB21" s="7">
        <f t="shared" si="16"/>
        <v>311850</v>
      </c>
      <c r="AC21" s="7">
        <f t="shared" si="16"/>
        <v>311850</v>
      </c>
      <c r="AD21" s="7">
        <f t="shared" si="16"/>
        <v>311850</v>
      </c>
      <c r="AE21" s="7">
        <f t="shared" si="16"/>
        <v>311850</v>
      </c>
      <c r="AF21" s="7">
        <f t="shared" si="16"/>
        <v>311850</v>
      </c>
      <c r="AG21" s="7">
        <f t="shared" si="16"/>
        <v>311850</v>
      </c>
      <c r="AH21" s="7">
        <f t="shared" si="16"/>
        <v>311850</v>
      </c>
      <c r="AI21" s="7">
        <f t="shared" si="16"/>
        <v>311850</v>
      </c>
      <c r="AJ21" s="7">
        <f t="shared" si="16"/>
        <v>311850</v>
      </c>
      <c r="AK21" s="7">
        <f t="shared" si="16"/>
        <v>311850</v>
      </c>
      <c r="AL21" s="7">
        <f t="shared" si="16"/>
        <v>311850</v>
      </c>
      <c r="AM21" s="7">
        <f t="shared" si="16"/>
        <v>311850</v>
      </c>
      <c r="AN21" s="7">
        <f t="shared" si="16"/>
        <v>311850</v>
      </c>
      <c r="AO21" s="7">
        <f t="shared" si="16"/>
        <v>311850</v>
      </c>
      <c r="AP21" s="7">
        <f t="shared" si="16"/>
        <v>0</v>
      </c>
      <c r="AQ21" s="7">
        <f t="shared" si="16"/>
        <v>0</v>
      </c>
      <c r="AR21" s="7">
        <f t="shared" si="16"/>
        <v>0</v>
      </c>
      <c r="AS21" s="7">
        <f t="shared" si="16"/>
        <v>0</v>
      </c>
      <c r="AT21" s="7">
        <f t="shared" si="16"/>
        <v>0</v>
      </c>
    </row>
    <row r="22" spans="3:46" x14ac:dyDescent="0.2">
      <c r="D22" t="s">
        <v>10</v>
      </c>
      <c r="E22" s="11" t="s">
        <v>14</v>
      </c>
      <c r="G22" s="42">
        <f>Inputs_TI!F12</f>
        <v>3.0000000000000001E-3</v>
      </c>
      <c r="K22" s="44">
        <v>1</v>
      </c>
      <c r="L22" s="39">
        <f>K22*(1-$G22)*L10</f>
        <v>0.997</v>
      </c>
      <c r="M22" s="39">
        <f t="shared" ref="M22:AT22" si="17">L22*(1-$G22)</f>
        <v>0.99400900000000003</v>
      </c>
      <c r="N22" s="39">
        <f t="shared" si="17"/>
        <v>0.99102697299999998</v>
      </c>
      <c r="O22" s="39">
        <f t="shared" si="17"/>
        <v>0.98805389208100003</v>
      </c>
      <c r="P22" s="39">
        <f t="shared" si="17"/>
        <v>0.985089730404757</v>
      </c>
      <c r="Q22" s="39">
        <f t="shared" si="17"/>
        <v>0.98213446121354275</v>
      </c>
      <c r="R22" s="39">
        <f t="shared" si="17"/>
        <v>0.97918805782990215</v>
      </c>
      <c r="S22" s="39">
        <f t="shared" si="17"/>
        <v>0.97625049365641248</v>
      </c>
      <c r="T22" s="39">
        <f t="shared" si="17"/>
        <v>0.97332174217544321</v>
      </c>
      <c r="U22" s="39">
        <f t="shared" si="17"/>
        <v>0.97040177694891683</v>
      </c>
      <c r="V22" s="39">
        <f t="shared" si="17"/>
        <v>0.96749057161807006</v>
      </c>
      <c r="W22" s="39">
        <f t="shared" si="17"/>
        <v>0.96458809990321581</v>
      </c>
      <c r="X22" s="39">
        <f t="shared" si="17"/>
        <v>0.96169433560350615</v>
      </c>
      <c r="Y22" s="39">
        <f t="shared" si="17"/>
        <v>0.95880925259669558</v>
      </c>
      <c r="Z22" s="39">
        <f t="shared" si="17"/>
        <v>0.95593282483890551</v>
      </c>
      <c r="AA22" s="39">
        <f t="shared" si="17"/>
        <v>0.95306502636438883</v>
      </c>
      <c r="AB22" s="39">
        <f t="shared" si="17"/>
        <v>0.95020583128529568</v>
      </c>
      <c r="AC22" s="39">
        <f t="shared" si="17"/>
        <v>0.94735521379143983</v>
      </c>
      <c r="AD22" s="39">
        <f t="shared" si="17"/>
        <v>0.94451314815006548</v>
      </c>
      <c r="AE22" s="39">
        <f t="shared" si="17"/>
        <v>0.94167960870561529</v>
      </c>
      <c r="AF22" s="39">
        <f t="shared" si="17"/>
        <v>0.93885456987949845</v>
      </c>
      <c r="AG22" s="39">
        <f t="shared" si="17"/>
        <v>0.93603800616985999</v>
      </c>
      <c r="AH22" s="39">
        <f t="shared" si="17"/>
        <v>0.93322989215135044</v>
      </c>
      <c r="AI22" s="39">
        <f t="shared" si="17"/>
        <v>0.93043020247489638</v>
      </c>
      <c r="AJ22" s="39">
        <f t="shared" si="17"/>
        <v>0.92763891186747172</v>
      </c>
      <c r="AK22" s="39">
        <f t="shared" si="17"/>
        <v>0.92485599513186934</v>
      </c>
      <c r="AL22" s="39">
        <f t="shared" si="17"/>
        <v>0.92208142714647368</v>
      </c>
      <c r="AM22" s="39">
        <f t="shared" si="17"/>
        <v>0.91931518286503422</v>
      </c>
      <c r="AN22" s="39">
        <f t="shared" si="17"/>
        <v>0.91655723731643912</v>
      </c>
      <c r="AO22" s="39">
        <f t="shared" si="17"/>
        <v>0.91380756560448984</v>
      </c>
      <c r="AP22" s="39">
        <f t="shared" si="17"/>
        <v>0.9110661429076764</v>
      </c>
      <c r="AQ22" s="39">
        <f t="shared" si="17"/>
        <v>0.90833294447895341</v>
      </c>
      <c r="AR22" s="39">
        <f t="shared" si="17"/>
        <v>0.9056079456455165</v>
      </c>
      <c r="AS22" s="39">
        <f t="shared" si="17"/>
        <v>0.90289112180858</v>
      </c>
      <c r="AT22" s="39">
        <f t="shared" si="17"/>
        <v>0.9001824484431542</v>
      </c>
    </row>
    <row r="23" spans="3:46" x14ac:dyDescent="0.2">
      <c r="D23" s="40" t="s">
        <v>69</v>
      </c>
      <c r="E23" s="43" t="s">
        <v>70</v>
      </c>
      <c r="F23" s="40"/>
      <c r="G23" s="40"/>
      <c r="H23" s="40"/>
      <c r="I23" s="40"/>
      <c r="J23" s="33">
        <f t="shared" ref="J23" si="18">SUM(K23:AT23)</f>
        <v>8932824.4447470475</v>
      </c>
      <c r="K23" s="40"/>
      <c r="L23" s="41">
        <f>L21*L22</f>
        <v>310914.45</v>
      </c>
      <c r="M23" s="41">
        <f t="shared" ref="M23:V23" si="19">M21*M22</f>
        <v>309981.70665000001</v>
      </c>
      <c r="N23" s="41">
        <f t="shared" si="19"/>
        <v>309051.76153005002</v>
      </c>
      <c r="O23" s="41">
        <f t="shared" si="19"/>
        <v>308124.60624545987</v>
      </c>
      <c r="P23" s="41">
        <f t="shared" si="19"/>
        <v>307200.23242672347</v>
      </c>
      <c r="Q23" s="41">
        <f t="shared" si="19"/>
        <v>306278.63172944332</v>
      </c>
      <c r="R23" s="41">
        <f t="shared" si="19"/>
        <v>305359.795834255</v>
      </c>
      <c r="S23" s="41">
        <f t="shared" si="19"/>
        <v>304443.71644675225</v>
      </c>
      <c r="T23" s="41">
        <f t="shared" si="19"/>
        <v>303530.38529741194</v>
      </c>
      <c r="U23" s="41">
        <f t="shared" si="19"/>
        <v>302619.7941415197</v>
      </c>
      <c r="V23" s="41">
        <f t="shared" si="19"/>
        <v>301711.93475909514</v>
      </c>
      <c r="W23" s="41">
        <f t="shared" ref="W23:AT23" si="20">W21*W22</f>
        <v>300806.79895481787</v>
      </c>
      <c r="X23" s="41">
        <f t="shared" si="20"/>
        <v>299904.3785579534</v>
      </c>
      <c r="Y23" s="41">
        <f t="shared" si="20"/>
        <v>299004.6654222795</v>
      </c>
      <c r="Z23" s="41">
        <f t="shared" si="20"/>
        <v>298107.65142601269</v>
      </c>
      <c r="AA23" s="41">
        <f t="shared" si="20"/>
        <v>297213.32847173465</v>
      </c>
      <c r="AB23" s="41">
        <f t="shared" si="20"/>
        <v>296321.68848631944</v>
      </c>
      <c r="AC23" s="41">
        <f t="shared" si="20"/>
        <v>295432.72342086054</v>
      </c>
      <c r="AD23" s="41">
        <f t="shared" si="20"/>
        <v>294546.42525059794</v>
      </c>
      <c r="AE23" s="41">
        <f t="shared" si="20"/>
        <v>293662.78597484611</v>
      </c>
      <c r="AF23" s="41">
        <f t="shared" si="20"/>
        <v>292781.7976169216</v>
      </c>
      <c r="AG23" s="41">
        <f t="shared" si="20"/>
        <v>291903.45222407085</v>
      </c>
      <c r="AH23" s="41">
        <f t="shared" si="20"/>
        <v>291027.74186739861</v>
      </c>
      <c r="AI23" s="41">
        <f t="shared" si="20"/>
        <v>290154.65864179644</v>
      </c>
      <c r="AJ23" s="41">
        <f t="shared" si="20"/>
        <v>289284.19466587104</v>
      </c>
      <c r="AK23" s="41">
        <f t="shared" si="20"/>
        <v>288416.34208187344</v>
      </c>
      <c r="AL23" s="41">
        <f t="shared" si="20"/>
        <v>287551.09305562783</v>
      </c>
      <c r="AM23" s="41">
        <f t="shared" si="20"/>
        <v>286688.43977646093</v>
      </c>
      <c r="AN23" s="41">
        <f t="shared" si="20"/>
        <v>285828.37445713155</v>
      </c>
      <c r="AO23" s="41">
        <f t="shared" si="20"/>
        <v>284970.88933376013</v>
      </c>
      <c r="AP23" s="41">
        <f t="shared" si="20"/>
        <v>0</v>
      </c>
      <c r="AQ23" s="41">
        <f t="shared" si="20"/>
        <v>0</v>
      </c>
      <c r="AR23" s="41">
        <f t="shared" si="20"/>
        <v>0</v>
      </c>
      <c r="AS23" s="41">
        <f t="shared" si="20"/>
        <v>0</v>
      </c>
      <c r="AT23" s="41">
        <f t="shared" si="20"/>
        <v>0</v>
      </c>
    </row>
    <row r="25" spans="3:46" ht="20" x14ac:dyDescent="0.25">
      <c r="C25" s="29" t="s">
        <v>73</v>
      </c>
    </row>
    <row r="26" spans="3:46" outlineLevel="1" x14ac:dyDescent="0.2">
      <c r="D26" s="45" t="s">
        <v>75</v>
      </c>
      <c r="G26" s="32" t="s">
        <v>30</v>
      </c>
      <c r="H26" s="32" t="s">
        <v>76</v>
      </c>
    </row>
    <row r="27" spans="3:46" outlineLevel="1" x14ac:dyDescent="0.2">
      <c r="D27" s="14" t="s">
        <v>29</v>
      </c>
      <c r="E27" s="11" t="s">
        <v>74</v>
      </c>
      <c r="G27" s="38">
        <f>Inputs_TI!F28</f>
        <v>1850000</v>
      </c>
      <c r="H27" s="46">
        <f>Inputs_TI!F9</f>
        <v>150</v>
      </c>
      <c r="J27" s="33">
        <f t="shared" ref="J27" si="21">SUM(K27:AT27)</f>
        <v>277500000</v>
      </c>
      <c r="K27" s="47">
        <f>$G27*$H27*K9</f>
        <v>277500000</v>
      </c>
      <c r="L27" s="47">
        <f t="shared" ref="L27:AT27" si="22">$G27*$H27*L9</f>
        <v>0</v>
      </c>
      <c r="M27" s="47">
        <f t="shared" si="22"/>
        <v>0</v>
      </c>
      <c r="N27" s="47">
        <f t="shared" si="22"/>
        <v>0</v>
      </c>
      <c r="O27" s="47">
        <f t="shared" si="22"/>
        <v>0</v>
      </c>
      <c r="P27" s="47">
        <f t="shared" si="22"/>
        <v>0</v>
      </c>
      <c r="Q27" s="47">
        <f t="shared" si="22"/>
        <v>0</v>
      </c>
      <c r="R27" s="47">
        <f t="shared" si="22"/>
        <v>0</v>
      </c>
      <c r="S27" s="47">
        <f t="shared" si="22"/>
        <v>0</v>
      </c>
      <c r="T27" s="47">
        <f t="shared" si="22"/>
        <v>0</v>
      </c>
      <c r="U27" s="47">
        <f t="shared" si="22"/>
        <v>0</v>
      </c>
      <c r="V27" s="47">
        <f t="shared" si="22"/>
        <v>0</v>
      </c>
      <c r="W27" s="47">
        <f t="shared" si="22"/>
        <v>0</v>
      </c>
      <c r="X27" s="47">
        <f t="shared" si="22"/>
        <v>0</v>
      </c>
      <c r="Y27" s="47">
        <f t="shared" si="22"/>
        <v>0</v>
      </c>
      <c r="Z27" s="47">
        <f t="shared" si="22"/>
        <v>0</v>
      </c>
      <c r="AA27" s="47">
        <f t="shared" si="22"/>
        <v>0</v>
      </c>
      <c r="AB27" s="47">
        <f t="shared" si="22"/>
        <v>0</v>
      </c>
      <c r="AC27" s="47">
        <f t="shared" si="22"/>
        <v>0</v>
      </c>
      <c r="AD27" s="47">
        <f t="shared" si="22"/>
        <v>0</v>
      </c>
      <c r="AE27" s="47">
        <f t="shared" si="22"/>
        <v>0</v>
      </c>
      <c r="AF27" s="47">
        <f t="shared" si="22"/>
        <v>0</v>
      </c>
      <c r="AG27" s="47">
        <f t="shared" si="22"/>
        <v>0</v>
      </c>
      <c r="AH27" s="47">
        <f t="shared" si="22"/>
        <v>0</v>
      </c>
      <c r="AI27" s="47">
        <f t="shared" si="22"/>
        <v>0</v>
      </c>
      <c r="AJ27" s="47">
        <f t="shared" si="22"/>
        <v>0</v>
      </c>
      <c r="AK27" s="47">
        <f t="shared" si="22"/>
        <v>0</v>
      </c>
      <c r="AL27" s="47">
        <f t="shared" si="22"/>
        <v>0</v>
      </c>
      <c r="AM27" s="47">
        <f t="shared" si="22"/>
        <v>0</v>
      </c>
      <c r="AN27" s="47">
        <f t="shared" si="22"/>
        <v>0</v>
      </c>
      <c r="AO27" s="47">
        <f t="shared" si="22"/>
        <v>0</v>
      </c>
      <c r="AP27" s="47">
        <f t="shared" si="22"/>
        <v>0</v>
      </c>
      <c r="AQ27" s="47">
        <f t="shared" si="22"/>
        <v>0</v>
      </c>
      <c r="AR27" s="47">
        <f t="shared" si="22"/>
        <v>0</v>
      </c>
      <c r="AS27" s="47">
        <f t="shared" si="22"/>
        <v>0</v>
      </c>
      <c r="AT27" s="47">
        <f t="shared" si="22"/>
        <v>0</v>
      </c>
    </row>
    <row r="28" spans="3:46" outlineLevel="1" x14ac:dyDescent="0.2"/>
    <row r="29" spans="3:46" outlineLevel="1" x14ac:dyDescent="0.2">
      <c r="D29" s="45" t="s">
        <v>77</v>
      </c>
      <c r="G29" s="32" t="s">
        <v>19</v>
      </c>
    </row>
    <row r="30" spans="3:46" outlineLevel="1" x14ac:dyDescent="0.2">
      <c r="D30" t="s">
        <v>78</v>
      </c>
      <c r="E30" s="11" t="s">
        <v>74</v>
      </c>
      <c r="G30" s="48">
        <f>Inputs_TI!F17</f>
        <v>75</v>
      </c>
      <c r="J30" s="33">
        <f t="shared" ref="J30:J31" si="23">SUM(K30:AT30)</f>
        <v>999420621.33552611</v>
      </c>
      <c r="K30" s="7">
        <f>K23*$G$30*K11*K16</f>
        <v>0</v>
      </c>
      <c r="L30" s="7">
        <f t="shared" ref="L30:AT30" si="24">L23*$G$30*L11*L16</f>
        <v>23901548.343749996</v>
      </c>
      <c r="M30" s="7">
        <f t="shared" si="24"/>
        <v>24425589.791186716</v>
      </c>
      <c r="N30" s="7">
        <f t="shared" si="24"/>
        <v>24961120.847358488</v>
      </c>
      <c r="O30" s="7">
        <f t="shared" si="24"/>
        <v>25508393.421936817</v>
      </c>
      <c r="P30" s="7">
        <f t="shared" si="24"/>
        <v>26067664.947712775</v>
      </c>
      <c r="Q30" s="7">
        <f t="shared" si="24"/>
        <v>26639198.501691382</v>
      </c>
      <c r="R30" s="7">
        <f t="shared" si="24"/>
        <v>27223262.928840965</v>
      </c>
      <c r="S30" s="7">
        <f t="shared" si="24"/>
        <v>27820132.968555801</v>
      </c>
      <c r="T30" s="7">
        <f t="shared" si="24"/>
        <v>28430089.383891374</v>
      </c>
      <c r="U30" s="7">
        <f t="shared" si="24"/>
        <v>29053419.09363319</v>
      </c>
      <c r="V30" s="7">
        <f t="shared" si="24"/>
        <v>29690415.307261094</v>
      </c>
      <c r="W30" s="7">
        <f t="shared" si="24"/>
        <v>30341377.662872795</v>
      </c>
      <c r="X30" s="7">
        <f t="shared" si="24"/>
        <v>31006612.368131276</v>
      </c>
      <c r="Y30" s="7">
        <f t="shared" si="24"/>
        <v>31686432.344302546</v>
      </c>
      <c r="Z30" s="7">
        <f t="shared" si="24"/>
        <v>32381157.373451378</v>
      </c>
      <c r="AA30" s="7">
        <f t="shared" si="24"/>
        <v>33091114.248864304</v>
      </c>
      <c r="AB30" s="7">
        <f t="shared" si="24"/>
        <v>33816636.928770646</v>
      </c>
      <c r="AC30" s="7">
        <f t="shared" si="24"/>
        <v>34558066.69343394</v>
      </c>
      <c r="AD30" s="7">
        <f t="shared" si="24"/>
        <v>35315752.30568748</v>
      </c>
      <c r="AE30" s="7">
        <f t="shared" si="24"/>
        <v>36090050.174989663</v>
      </c>
      <c r="AF30" s="7">
        <f t="shared" si="24"/>
        <v>36881324.525076315</v>
      </c>
      <c r="AG30" s="7">
        <f t="shared" si="24"/>
        <v>37689947.565288611</v>
      </c>
      <c r="AH30" s="7">
        <f t="shared" si="24"/>
        <v>38516299.665657558</v>
      </c>
      <c r="AI30" s="7">
        <f t="shared" si="24"/>
        <v>39360769.535827108</v>
      </c>
      <c r="AJ30" s="7">
        <f t="shared" si="24"/>
        <v>40223754.407900102</v>
      </c>
      <c r="AK30" s="7">
        <f t="shared" si="24"/>
        <v>41105660.223293319</v>
      </c>
      <c r="AL30" s="7">
        <f t="shared" si="24"/>
        <v>42006901.823689021</v>
      </c>
      <c r="AM30" s="7">
        <f t="shared" si="24"/>
        <v>42927903.146173395</v>
      </c>
      <c r="AN30" s="7">
        <f t="shared" si="24"/>
        <v>43869097.422653235</v>
      </c>
      <c r="AO30" s="7">
        <f t="shared" si="24"/>
        <v>44830927.383644909</v>
      </c>
      <c r="AP30" s="7">
        <f t="shared" si="24"/>
        <v>0</v>
      </c>
      <c r="AQ30" s="7">
        <f t="shared" si="24"/>
        <v>0</v>
      </c>
      <c r="AR30" s="7">
        <f t="shared" si="24"/>
        <v>0</v>
      </c>
      <c r="AS30" s="7">
        <f t="shared" si="24"/>
        <v>0</v>
      </c>
      <c r="AT30" s="7">
        <f t="shared" si="24"/>
        <v>0</v>
      </c>
    </row>
    <row r="31" spans="3:46" ht="17" outlineLevel="1" thickBot="1" x14ac:dyDescent="0.25">
      <c r="D31" s="49" t="s">
        <v>79</v>
      </c>
      <c r="E31" s="50" t="s">
        <v>74</v>
      </c>
      <c r="F31" s="49"/>
      <c r="G31" s="49"/>
      <c r="H31" s="49"/>
      <c r="I31" s="49"/>
      <c r="J31" s="51">
        <f t="shared" si="23"/>
        <v>999420621.33552611</v>
      </c>
      <c r="K31" s="52">
        <f>SUM(K30)</f>
        <v>0</v>
      </c>
      <c r="L31" s="52">
        <f t="shared" ref="L31:AT31" si="25">SUM(L30)</f>
        <v>23901548.343749996</v>
      </c>
      <c r="M31" s="52">
        <f t="shared" si="25"/>
        <v>24425589.791186716</v>
      </c>
      <c r="N31" s="52">
        <f t="shared" si="25"/>
        <v>24961120.847358488</v>
      </c>
      <c r="O31" s="52">
        <f t="shared" si="25"/>
        <v>25508393.421936817</v>
      </c>
      <c r="P31" s="52">
        <f t="shared" si="25"/>
        <v>26067664.947712775</v>
      </c>
      <c r="Q31" s="52">
        <f t="shared" si="25"/>
        <v>26639198.501691382</v>
      </c>
      <c r="R31" s="52">
        <f t="shared" si="25"/>
        <v>27223262.928840965</v>
      </c>
      <c r="S31" s="52">
        <f t="shared" si="25"/>
        <v>27820132.968555801</v>
      </c>
      <c r="T31" s="52">
        <f t="shared" si="25"/>
        <v>28430089.383891374</v>
      </c>
      <c r="U31" s="52">
        <f t="shared" si="25"/>
        <v>29053419.09363319</v>
      </c>
      <c r="V31" s="52">
        <f t="shared" si="25"/>
        <v>29690415.307261094</v>
      </c>
      <c r="W31" s="52">
        <f t="shared" si="25"/>
        <v>30341377.662872795</v>
      </c>
      <c r="X31" s="52">
        <f t="shared" si="25"/>
        <v>31006612.368131276</v>
      </c>
      <c r="Y31" s="52">
        <f t="shared" si="25"/>
        <v>31686432.344302546</v>
      </c>
      <c r="Z31" s="52">
        <f t="shared" si="25"/>
        <v>32381157.373451378</v>
      </c>
      <c r="AA31" s="52">
        <f t="shared" si="25"/>
        <v>33091114.248864304</v>
      </c>
      <c r="AB31" s="52">
        <f t="shared" si="25"/>
        <v>33816636.928770646</v>
      </c>
      <c r="AC31" s="52">
        <f t="shared" si="25"/>
        <v>34558066.69343394</v>
      </c>
      <c r="AD31" s="52">
        <f t="shared" si="25"/>
        <v>35315752.30568748</v>
      </c>
      <c r="AE31" s="52">
        <f t="shared" si="25"/>
        <v>36090050.174989663</v>
      </c>
      <c r="AF31" s="52">
        <f t="shared" si="25"/>
        <v>36881324.525076315</v>
      </c>
      <c r="AG31" s="52">
        <f t="shared" si="25"/>
        <v>37689947.565288611</v>
      </c>
      <c r="AH31" s="52">
        <f t="shared" si="25"/>
        <v>38516299.665657558</v>
      </c>
      <c r="AI31" s="52">
        <f t="shared" si="25"/>
        <v>39360769.535827108</v>
      </c>
      <c r="AJ31" s="52">
        <f t="shared" si="25"/>
        <v>40223754.407900102</v>
      </c>
      <c r="AK31" s="52">
        <f t="shared" si="25"/>
        <v>41105660.223293319</v>
      </c>
      <c r="AL31" s="52">
        <f t="shared" si="25"/>
        <v>42006901.823689021</v>
      </c>
      <c r="AM31" s="52">
        <f t="shared" si="25"/>
        <v>42927903.146173395</v>
      </c>
      <c r="AN31" s="52">
        <f t="shared" si="25"/>
        <v>43869097.422653235</v>
      </c>
      <c r="AO31" s="52">
        <f t="shared" si="25"/>
        <v>44830927.383644909</v>
      </c>
      <c r="AP31" s="52">
        <f t="shared" si="25"/>
        <v>0</v>
      </c>
      <c r="AQ31" s="52">
        <f t="shared" si="25"/>
        <v>0</v>
      </c>
      <c r="AR31" s="52">
        <f t="shared" si="25"/>
        <v>0</v>
      </c>
      <c r="AS31" s="52">
        <f t="shared" si="25"/>
        <v>0</v>
      </c>
      <c r="AT31" s="52">
        <f t="shared" si="25"/>
        <v>0</v>
      </c>
    </row>
    <row r="32" spans="3:46" ht="17" outlineLevel="1" thickTop="1" x14ac:dyDescent="0.2"/>
    <row r="33" spans="3:46" outlineLevel="1" x14ac:dyDescent="0.2">
      <c r="D33" s="53" t="s">
        <v>80</v>
      </c>
    </row>
    <row r="34" spans="3:46" outlineLevel="1" x14ac:dyDescent="0.2">
      <c r="D34" t="str">
        <f>Inputs_TI!D21</f>
        <v>O&amp;M</v>
      </c>
      <c r="E34" s="11" t="s">
        <v>74</v>
      </c>
      <c r="G34" s="46">
        <f>Inputs_TI!F21</f>
        <v>8000</v>
      </c>
      <c r="H34" t="s">
        <v>26</v>
      </c>
      <c r="J34" s="33">
        <f t="shared" ref="J34:J42" si="26">SUM(K34:AT34)</f>
        <v>49655328.947125271</v>
      </c>
      <c r="K34" s="7">
        <f>$G34*$H$27*K$17*K$10</f>
        <v>0</v>
      </c>
      <c r="L34" s="7">
        <f t="shared" ref="L34:AT36" si="27">$G34*$H$27*L$17*L$10</f>
        <v>1224000</v>
      </c>
      <c r="M34" s="7">
        <f t="shared" si="27"/>
        <v>1248480</v>
      </c>
      <c r="N34" s="7">
        <f t="shared" si="27"/>
        <v>1273449.5999999999</v>
      </c>
      <c r="O34" s="7">
        <f t="shared" si="27"/>
        <v>1298918.5919999999</v>
      </c>
      <c r="P34" s="7">
        <f t="shared" si="27"/>
        <v>1324896.9638400001</v>
      </c>
      <c r="Q34" s="7">
        <f t="shared" si="27"/>
        <v>1351394.9031168001</v>
      </c>
      <c r="R34" s="7">
        <f t="shared" si="27"/>
        <v>1378422.8011791361</v>
      </c>
      <c r="S34" s="7">
        <f t="shared" si="27"/>
        <v>1405991.2572027189</v>
      </c>
      <c r="T34" s="7">
        <f t="shared" si="27"/>
        <v>1434111.0823467732</v>
      </c>
      <c r="U34" s="7">
        <f t="shared" si="27"/>
        <v>1462793.3039937087</v>
      </c>
      <c r="V34" s="7">
        <f t="shared" si="27"/>
        <v>1492049.170073583</v>
      </c>
      <c r="W34" s="7">
        <f t="shared" si="27"/>
        <v>1521890.1534750545</v>
      </c>
      <c r="X34" s="7">
        <f t="shared" si="27"/>
        <v>1552327.9565445555</v>
      </c>
      <c r="Y34" s="7">
        <f t="shared" si="27"/>
        <v>1583374.5156754469</v>
      </c>
      <c r="Z34" s="7">
        <f t="shared" si="27"/>
        <v>1615042.005988956</v>
      </c>
      <c r="AA34" s="7">
        <f t="shared" si="27"/>
        <v>1647342.8461087351</v>
      </c>
      <c r="AB34" s="7">
        <f t="shared" si="27"/>
        <v>1680289.7030309099</v>
      </c>
      <c r="AC34" s="7">
        <f t="shared" si="27"/>
        <v>1713895.497091528</v>
      </c>
      <c r="AD34" s="7">
        <f t="shared" si="27"/>
        <v>1748173.4070333585</v>
      </c>
      <c r="AE34" s="7">
        <f t="shared" si="27"/>
        <v>1783136.8751740258</v>
      </c>
      <c r="AF34" s="7">
        <f t="shared" si="27"/>
        <v>1818799.6126775064</v>
      </c>
      <c r="AG34" s="7">
        <f t="shared" si="27"/>
        <v>1855175.6049310567</v>
      </c>
      <c r="AH34" s="7">
        <f t="shared" si="27"/>
        <v>1892279.1170296778</v>
      </c>
      <c r="AI34" s="7">
        <f t="shared" si="27"/>
        <v>1930124.6993702713</v>
      </c>
      <c r="AJ34" s="7">
        <f t="shared" si="27"/>
        <v>1968727.1933576767</v>
      </c>
      <c r="AK34" s="7">
        <f t="shared" si="27"/>
        <v>2008101.7372248303</v>
      </c>
      <c r="AL34" s="7">
        <f t="shared" si="27"/>
        <v>2048263.771969327</v>
      </c>
      <c r="AM34" s="7">
        <f t="shared" si="27"/>
        <v>2089229.0474087137</v>
      </c>
      <c r="AN34" s="7">
        <f t="shared" si="27"/>
        <v>2131013.628356888</v>
      </c>
      <c r="AO34" s="7">
        <f t="shared" si="27"/>
        <v>2173633.9009240256</v>
      </c>
      <c r="AP34" s="7">
        <f t="shared" si="27"/>
        <v>0</v>
      </c>
      <c r="AQ34" s="7">
        <f t="shared" si="27"/>
        <v>0</v>
      </c>
      <c r="AR34" s="7">
        <f t="shared" si="27"/>
        <v>0</v>
      </c>
      <c r="AS34" s="7">
        <f t="shared" si="27"/>
        <v>0</v>
      </c>
      <c r="AT34" s="7">
        <f t="shared" si="27"/>
        <v>0</v>
      </c>
    </row>
    <row r="35" spans="3:46" outlineLevel="1" x14ac:dyDescent="0.2">
      <c r="D35" t="str">
        <f>Inputs_TI!D22</f>
        <v>Insurance</v>
      </c>
      <c r="E35" s="11" t="s">
        <v>74</v>
      </c>
      <c r="G35" s="46">
        <f>Inputs_TI!F22</f>
        <v>2000</v>
      </c>
      <c r="H35" t="s">
        <v>26</v>
      </c>
      <c r="J35" s="33">
        <f t="shared" si="26"/>
        <v>12413832.236781318</v>
      </c>
      <c r="K35" s="7">
        <f t="shared" ref="K35:Z36" si="28">$G35*$H$27*K$17*K$10</f>
        <v>0</v>
      </c>
      <c r="L35" s="7">
        <f t="shared" si="28"/>
        <v>306000</v>
      </c>
      <c r="M35" s="7">
        <f t="shared" si="28"/>
        <v>312120</v>
      </c>
      <c r="N35" s="7">
        <f t="shared" si="28"/>
        <v>318362.39999999997</v>
      </c>
      <c r="O35" s="7">
        <f t="shared" si="28"/>
        <v>324729.64799999999</v>
      </c>
      <c r="P35" s="7">
        <f t="shared" si="28"/>
        <v>331224.24096000002</v>
      </c>
      <c r="Q35" s="7">
        <f t="shared" si="28"/>
        <v>337848.72577920003</v>
      </c>
      <c r="R35" s="7">
        <f t="shared" si="28"/>
        <v>344605.70029478404</v>
      </c>
      <c r="S35" s="7">
        <f t="shared" si="28"/>
        <v>351497.81430067972</v>
      </c>
      <c r="T35" s="7">
        <f t="shared" si="28"/>
        <v>358527.77058669331</v>
      </c>
      <c r="U35" s="7">
        <f t="shared" si="28"/>
        <v>365698.32599842717</v>
      </c>
      <c r="V35" s="7">
        <f t="shared" si="28"/>
        <v>373012.29251839576</v>
      </c>
      <c r="W35" s="7">
        <f t="shared" si="28"/>
        <v>380472.53836876363</v>
      </c>
      <c r="X35" s="7">
        <f t="shared" si="28"/>
        <v>388081.98913613887</v>
      </c>
      <c r="Y35" s="7">
        <f t="shared" si="28"/>
        <v>395843.62891886174</v>
      </c>
      <c r="Z35" s="7">
        <f t="shared" si="28"/>
        <v>403760.50149723899</v>
      </c>
      <c r="AA35" s="7">
        <f t="shared" si="27"/>
        <v>411835.71152718377</v>
      </c>
      <c r="AB35" s="7">
        <f t="shared" si="27"/>
        <v>420072.42575772747</v>
      </c>
      <c r="AC35" s="7">
        <f t="shared" si="27"/>
        <v>428473.87427288201</v>
      </c>
      <c r="AD35" s="7">
        <f t="shared" si="27"/>
        <v>437043.35175833962</v>
      </c>
      <c r="AE35" s="7">
        <f t="shared" si="27"/>
        <v>445784.21879350644</v>
      </c>
      <c r="AF35" s="7">
        <f t="shared" si="27"/>
        <v>454699.9031693766</v>
      </c>
      <c r="AG35" s="7">
        <f t="shared" si="27"/>
        <v>463793.90123276418</v>
      </c>
      <c r="AH35" s="7">
        <f t="shared" si="27"/>
        <v>473069.77925741946</v>
      </c>
      <c r="AI35" s="7">
        <f t="shared" si="27"/>
        <v>482531.17484256782</v>
      </c>
      <c r="AJ35" s="7">
        <f t="shared" si="27"/>
        <v>492181.79833941918</v>
      </c>
      <c r="AK35" s="7">
        <f t="shared" si="27"/>
        <v>502025.43430620758</v>
      </c>
      <c r="AL35" s="7">
        <f t="shared" si="27"/>
        <v>512065.94299233175</v>
      </c>
      <c r="AM35" s="7">
        <f t="shared" si="27"/>
        <v>522307.26185217843</v>
      </c>
      <c r="AN35" s="7">
        <f t="shared" si="27"/>
        <v>532753.40708922199</v>
      </c>
      <c r="AO35" s="7">
        <f t="shared" si="27"/>
        <v>543408.47523100639</v>
      </c>
      <c r="AP35" s="7">
        <f t="shared" si="27"/>
        <v>0</v>
      </c>
      <c r="AQ35" s="7">
        <f t="shared" si="27"/>
        <v>0</v>
      </c>
      <c r="AR35" s="7">
        <f t="shared" si="27"/>
        <v>0</v>
      </c>
      <c r="AS35" s="7">
        <f t="shared" si="27"/>
        <v>0</v>
      </c>
      <c r="AT35" s="7">
        <f t="shared" si="27"/>
        <v>0</v>
      </c>
    </row>
    <row r="36" spans="3:46" outlineLevel="1" x14ac:dyDescent="0.2">
      <c r="D36" t="str">
        <f>Inputs_TI!D23</f>
        <v>Other Opex</v>
      </c>
      <c r="E36" s="11" t="s">
        <v>74</v>
      </c>
      <c r="G36" s="46">
        <f>Inputs_TI!F23</f>
        <v>10000</v>
      </c>
      <c r="H36" t="s">
        <v>26</v>
      </c>
      <c r="J36" s="33">
        <f t="shared" si="26"/>
        <v>62069161.183906578</v>
      </c>
      <c r="K36" s="7">
        <f t="shared" si="28"/>
        <v>0</v>
      </c>
      <c r="L36" s="7">
        <f t="shared" si="27"/>
        <v>1530000</v>
      </c>
      <c r="M36" s="7">
        <f t="shared" si="27"/>
        <v>1560600</v>
      </c>
      <c r="N36" s="7">
        <f t="shared" si="27"/>
        <v>1591812</v>
      </c>
      <c r="O36" s="7">
        <f t="shared" si="27"/>
        <v>1623648.24</v>
      </c>
      <c r="P36" s="7">
        <f t="shared" si="27"/>
        <v>1656121.2047999999</v>
      </c>
      <c r="Q36" s="7">
        <f t="shared" si="27"/>
        <v>1689243.6288960001</v>
      </c>
      <c r="R36" s="7">
        <f t="shared" si="27"/>
        <v>1723028.50147392</v>
      </c>
      <c r="S36" s="7">
        <f t="shared" si="27"/>
        <v>1757489.0715033987</v>
      </c>
      <c r="T36" s="7">
        <f t="shared" si="27"/>
        <v>1792638.8529334667</v>
      </c>
      <c r="U36" s="7">
        <f t="shared" si="27"/>
        <v>1828491.629992136</v>
      </c>
      <c r="V36" s="7">
        <f t="shared" si="27"/>
        <v>1865061.4625919787</v>
      </c>
      <c r="W36" s="7">
        <f t="shared" si="27"/>
        <v>1902362.6918438182</v>
      </c>
      <c r="X36" s="7">
        <f t="shared" si="27"/>
        <v>1940409.9456806944</v>
      </c>
      <c r="Y36" s="7">
        <f t="shared" si="27"/>
        <v>1979218.1445943085</v>
      </c>
      <c r="Z36" s="7">
        <f t="shared" si="27"/>
        <v>2018802.5074861948</v>
      </c>
      <c r="AA36" s="7">
        <f t="shared" si="27"/>
        <v>2059178.5576359187</v>
      </c>
      <c r="AB36" s="7">
        <f t="shared" si="27"/>
        <v>2100362.1287886375</v>
      </c>
      <c r="AC36" s="7">
        <f t="shared" si="27"/>
        <v>2142369.37136441</v>
      </c>
      <c r="AD36" s="7">
        <f t="shared" si="27"/>
        <v>2185216.7587916981</v>
      </c>
      <c r="AE36" s="7">
        <f t="shared" si="27"/>
        <v>2228921.0939675323</v>
      </c>
      <c r="AF36" s="7">
        <f t="shared" si="27"/>
        <v>2273499.5158468829</v>
      </c>
      <c r="AG36" s="7">
        <f t="shared" si="27"/>
        <v>2318969.5061638211</v>
      </c>
      <c r="AH36" s="7">
        <f t="shared" si="27"/>
        <v>2365348.8962870971</v>
      </c>
      <c r="AI36" s="7">
        <f t="shared" si="27"/>
        <v>2412655.8742128392</v>
      </c>
      <c r="AJ36" s="7">
        <f t="shared" si="27"/>
        <v>2460908.9916970958</v>
      </c>
      <c r="AK36" s="7">
        <f t="shared" si="27"/>
        <v>2510127.1715310379</v>
      </c>
      <c r="AL36" s="7">
        <f t="shared" si="27"/>
        <v>2560329.7149616587</v>
      </c>
      <c r="AM36" s="7">
        <f t="shared" si="27"/>
        <v>2611536.3092608922</v>
      </c>
      <c r="AN36" s="7">
        <f t="shared" si="27"/>
        <v>2663767.0354461097</v>
      </c>
      <c r="AO36" s="7">
        <f t="shared" si="27"/>
        <v>2717042.3761550323</v>
      </c>
      <c r="AP36" s="7">
        <f t="shared" si="27"/>
        <v>0</v>
      </c>
      <c r="AQ36" s="7">
        <f t="shared" si="27"/>
        <v>0</v>
      </c>
      <c r="AR36" s="7">
        <f t="shared" si="27"/>
        <v>0</v>
      </c>
      <c r="AS36" s="7">
        <f t="shared" si="27"/>
        <v>0</v>
      </c>
      <c r="AT36" s="7">
        <f t="shared" si="27"/>
        <v>0</v>
      </c>
    </row>
    <row r="37" spans="3:46" outlineLevel="1" x14ac:dyDescent="0.2">
      <c r="D37" t="str">
        <f>Inputs_TI!D24</f>
        <v>Land Lease</v>
      </c>
      <c r="E37" s="11" t="s">
        <v>74</v>
      </c>
      <c r="G37" s="54">
        <f>Inputs_TI!F24</f>
        <v>0.02</v>
      </c>
      <c r="H37" t="s">
        <v>81</v>
      </c>
      <c r="J37" s="33">
        <f t="shared" si="26"/>
        <v>19988412.426710527</v>
      </c>
      <c r="K37" s="7">
        <f>$G37*K31</f>
        <v>0</v>
      </c>
      <c r="L37" s="7">
        <f t="shared" ref="L37:AT37" si="29">$G37*L31</f>
        <v>478030.96687499993</v>
      </c>
      <c r="M37" s="7">
        <f t="shared" si="29"/>
        <v>488511.79582373431</v>
      </c>
      <c r="N37" s="7">
        <f t="shared" si="29"/>
        <v>499222.41694716975</v>
      </c>
      <c r="O37" s="7">
        <f t="shared" si="29"/>
        <v>510167.86843873636</v>
      </c>
      <c r="P37" s="7">
        <f t="shared" si="29"/>
        <v>521353.29895425553</v>
      </c>
      <c r="Q37" s="7">
        <f t="shared" si="29"/>
        <v>532783.9700338277</v>
      </c>
      <c r="R37" s="7">
        <f t="shared" si="29"/>
        <v>544465.25857681932</v>
      </c>
      <c r="S37" s="7">
        <f t="shared" si="29"/>
        <v>556402.65937111597</v>
      </c>
      <c r="T37" s="7">
        <f t="shared" si="29"/>
        <v>568601.78767782752</v>
      </c>
      <c r="U37" s="7">
        <f t="shared" si="29"/>
        <v>581068.38187266386</v>
      </c>
      <c r="V37" s="7">
        <f t="shared" si="29"/>
        <v>593808.30614522193</v>
      </c>
      <c r="W37" s="7">
        <f t="shared" si="29"/>
        <v>606827.55325745593</v>
      </c>
      <c r="X37" s="7">
        <f t="shared" si="29"/>
        <v>620132.24736262555</v>
      </c>
      <c r="Y37" s="7">
        <f t="shared" si="29"/>
        <v>633728.64688605093</v>
      </c>
      <c r="Z37" s="7">
        <f t="shared" si="29"/>
        <v>647623.14746902755</v>
      </c>
      <c r="AA37" s="7">
        <f t="shared" si="29"/>
        <v>661822.28497728612</v>
      </c>
      <c r="AB37" s="7">
        <f t="shared" si="29"/>
        <v>676332.73857541289</v>
      </c>
      <c r="AC37" s="7">
        <f t="shared" si="29"/>
        <v>691161.33386867878</v>
      </c>
      <c r="AD37" s="7">
        <f t="shared" si="29"/>
        <v>706315.04611374962</v>
      </c>
      <c r="AE37" s="7">
        <f t="shared" si="29"/>
        <v>721801.00349979324</v>
      </c>
      <c r="AF37" s="7">
        <f t="shared" si="29"/>
        <v>737626.49050152628</v>
      </c>
      <c r="AG37" s="7">
        <f t="shared" si="29"/>
        <v>753798.95130577218</v>
      </c>
      <c r="AH37" s="7">
        <f t="shared" si="29"/>
        <v>770325.99331315118</v>
      </c>
      <c r="AI37" s="7">
        <f t="shared" si="29"/>
        <v>787215.39071654214</v>
      </c>
      <c r="AJ37" s="7">
        <f t="shared" si="29"/>
        <v>804475.08815800212</v>
      </c>
      <c r="AK37" s="7">
        <f t="shared" si="29"/>
        <v>822113.20446586644</v>
      </c>
      <c r="AL37" s="7">
        <f t="shared" si="29"/>
        <v>840138.0364737804</v>
      </c>
      <c r="AM37" s="7">
        <f t="shared" si="29"/>
        <v>858558.06292346795</v>
      </c>
      <c r="AN37" s="7">
        <f t="shared" si="29"/>
        <v>877381.94845306478</v>
      </c>
      <c r="AO37" s="7">
        <f t="shared" si="29"/>
        <v>896618.54767289816</v>
      </c>
      <c r="AP37" s="7">
        <f t="shared" si="29"/>
        <v>0</v>
      </c>
      <c r="AQ37" s="7">
        <f t="shared" si="29"/>
        <v>0</v>
      </c>
      <c r="AR37" s="7">
        <f t="shared" si="29"/>
        <v>0</v>
      </c>
      <c r="AS37" s="7">
        <f t="shared" si="29"/>
        <v>0</v>
      </c>
      <c r="AT37" s="7">
        <f t="shared" si="29"/>
        <v>0</v>
      </c>
    </row>
    <row r="38" spans="3:46" ht="17" outlineLevel="1" thickBot="1" x14ac:dyDescent="0.25">
      <c r="D38" s="49" t="s">
        <v>82</v>
      </c>
      <c r="E38" s="50"/>
      <c r="F38" s="49"/>
      <c r="G38" s="49"/>
      <c r="H38" s="49"/>
      <c r="I38" s="49"/>
      <c r="J38" s="51">
        <f>SUM(J34:J37)</f>
        <v>144126734.79452369</v>
      </c>
      <c r="K38" s="52">
        <f>SUM(K34:K37)</f>
        <v>0</v>
      </c>
      <c r="L38" s="52">
        <f t="shared" ref="L38:AT38" si="30">SUM(L34:L37)</f>
        <v>3538030.9668749999</v>
      </c>
      <c r="M38" s="52">
        <f t="shared" si="30"/>
        <v>3609711.7958237343</v>
      </c>
      <c r="N38" s="52">
        <f t="shared" si="30"/>
        <v>3682846.4169471697</v>
      </c>
      <c r="O38" s="52">
        <f t="shared" si="30"/>
        <v>3757464.3484387365</v>
      </c>
      <c r="P38" s="52">
        <f t="shared" si="30"/>
        <v>3833595.7085542553</v>
      </c>
      <c r="Q38" s="52">
        <f t="shared" si="30"/>
        <v>3911271.2278258279</v>
      </c>
      <c r="R38" s="52">
        <f t="shared" si="30"/>
        <v>3990522.2615246591</v>
      </c>
      <c r="S38" s="52">
        <f t="shared" si="30"/>
        <v>4071380.8023779131</v>
      </c>
      <c r="T38" s="52">
        <f t="shared" si="30"/>
        <v>4153879.4935447602</v>
      </c>
      <c r="U38" s="52">
        <f t="shared" si="30"/>
        <v>4238051.6418569358</v>
      </c>
      <c r="V38" s="52">
        <f t="shared" si="30"/>
        <v>4323931.2313291794</v>
      </c>
      <c r="W38" s="52">
        <f t="shared" si="30"/>
        <v>4411552.9369450919</v>
      </c>
      <c r="X38" s="52">
        <f t="shared" si="30"/>
        <v>4500952.1387240142</v>
      </c>
      <c r="Y38" s="52">
        <f t="shared" si="30"/>
        <v>4592164.9360746676</v>
      </c>
      <c r="Z38" s="52">
        <f t="shared" si="30"/>
        <v>4685228.1624414176</v>
      </c>
      <c r="AA38" s="52">
        <f t="shared" si="30"/>
        <v>4780179.4002491236</v>
      </c>
      <c r="AB38" s="52">
        <f t="shared" si="30"/>
        <v>4877056.9961526878</v>
      </c>
      <c r="AC38" s="52">
        <f t="shared" si="30"/>
        <v>4975900.0765974987</v>
      </c>
      <c r="AD38" s="52">
        <f t="shared" si="30"/>
        <v>5076748.5636971463</v>
      </c>
      <c r="AE38" s="52">
        <f t="shared" si="30"/>
        <v>5179643.1914348574</v>
      </c>
      <c r="AF38" s="52">
        <f t="shared" si="30"/>
        <v>5284625.5221952926</v>
      </c>
      <c r="AG38" s="52">
        <f t="shared" si="30"/>
        <v>5391737.9636334144</v>
      </c>
      <c r="AH38" s="52">
        <f t="shared" si="30"/>
        <v>5501023.7858873457</v>
      </c>
      <c r="AI38" s="52">
        <f t="shared" si="30"/>
        <v>5612527.1391422208</v>
      </c>
      <c r="AJ38" s="52">
        <f t="shared" si="30"/>
        <v>5726293.0715521937</v>
      </c>
      <c r="AK38" s="52">
        <f t="shared" si="30"/>
        <v>5842367.5475279419</v>
      </c>
      <c r="AL38" s="52">
        <f t="shared" si="30"/>
        <v>5960797.4663970973</v>
      </c>
      <c r="AM38" s="52">
        <f t="shared" si="30"/>
        <v>6081630.6814452522</v>
      </c>
      <c r="AN38" s="52">
        <f t="shared" si="30"/>
        <v>6204916.0193452854</v>
      </c>
      <c r="AO38" s="52">
        <f t="shared" si="30"/>
        <v>6330703.2999829622</v>
      </c>
      <c r="AP38" s="52">
        <f t="shared" si="30"/>
        <v>0</v>
      </c>
      <c r="AQ38" s="52">
        <f t="shared" si="30"/>
        <v>0</v>
      </c>
      <c r="AR38" s="52">
        <f t="shared" si="30"/>
        <v>0</v>
      </c>
      <c r="AS38" s="52">
        <f t="shared" si="30"/>
        <v>0</v>
      </c>
      <c r="AT38" s="52">
        <f t="shared" si="30"/>
        <v>0</v>
      </c>
    </row>
    <row r="39" spans="3:46" ht="17" outlineLevel="1" thickTop="1" x14ac:dyDescent="0.2"/>
    <row r="40" spans="3:46" outlineLevel="1" x14ac:dyDescent="0.2">
      <c r="D40" s="56" t="s">
        <v>83</v>
      </c>
      <c r="E40" s="57" t="s">
        <v>74</v>
      </c>
      <c r="F40" s="56"/>
      <c r="G40" s="56"/>
      <c r="H40" s="56"/>
      <c r="I40" s="56"/>
      <c r="J40" s="58">
        <f t="shared" si="26"/>
        <v>855293886.54100239</v>
      </c>
      <c r="K40" s="59">
        <f xml:space="preserve"> K31-  K38</f>
        <v>0</v>
      </c>
      <c r="L40" s="59">
        <f t="shared" ref="L40:AT40" si="31" xml:space="preserve"> L31-  L38</f>
        <v>20363517.376874998</v>
      </c>
      <c r="M40" s="59">
        <f t="shared" si="31"/>
        <v>20815877.995362982</v>
      </c>
      <c r="N40" s="59">
        <f t="shared" si="31"/>
        <v>21278274.430411316</v>
      </c>
      <c r="O40" s="59">
        <f t="shared" si="31"/>
        <v>21750929.073498081</v>
      </c>
      <c r="P40" s="59">
        <f t="shared" si="31"/>
        <v>22234069.239158519</v>
      </c>
      <c r="Q40" s="59">
        <f t="shared" si="31"/>
        <v>22727927.273865554</v>
      </c>
      <c r="R40" s="59">
        <f t="shared" si="31"/>
        <v>23232740.667316306</v>
      </c>
      <c r="S40" s="59">
        <f t="shared" si="31"/>
        <v>23748752.166177887</v>
      </c>
      <c r="T40" s="59">
        <f t="shared" si="31"/>
        <v>24276209.890346613</v>
      </c>
      <c r="U40" s="59">
        <f t="shared" si="31"/>
        <v>24815367.451776255</v>
      </c>
      <c r="V40" s="59">
        <f t="shared" si="31"/>
        <v>25366484.075931914</v>
      </c>
      <c r="W40" s="59">
        <f t="shared" si="31"/>
        <v>25929824.725927703</v>
      </c>
      <c r="X40" s="59">
        <f t="shared" si="31"/>
        <v>26505660.229407262</v>
      </c>
      <c r="Y40" s="59">
        <f t="shared" si="31"/>
        <v>27094267.40822788</v>
      </c>
      <c r="Z40" s="59">
        <f t="shared" si="31"/>
        <v>27695929.211009961</v>
      </c>
      <c r="AA40" s="59">
        <f t="shared" si="31"/>
        <v>28310934.848615181</v>
      </c>
      <c r="AB40" s="59">
        <f t="shared" si="31"/>
        <v>28939579.932617959</v>
      </c>
      <c r="AC40" s="59">
        <f t="shared" si="31"/>
        <v>29582166.616836444</v>
      </c>
      <c r="AD40" s="59">
        <f t="shared" si="31"/>
        <v>30239003.741990335</v>
      </c>
      <c r="AE40" s="59">
        <f t="shared" si="31"/>
        <v>30910406.983554807</v>
      </c>
      <c r="AF40" s="59">
        <f t="shared" si="31"/>
        <v>31596699.00288102</v>
      </c>
      <c r="AG40" s="59">
        <f t="shared" si="31"/>
        <v>32298209.601655196</v>
      </c>
      <c r="AH40" s="59">
        <f t="shared" si="31"/>
        <v>33015275.879770212</v>
      </c>
      <c r="AI40" s="59">
        <f t="shared" si="31"/>
        <v>33748242.396684885</v>
      </c>
      <c r="AJ40" s="59">
        <f t="shared" si="31"/>
        <v>34497461.336347908</v>
      </c>
      <c r="AK40" s="59">
        <f t="shared" si="31"/>
        <v>35263292.67576538</v>
      </c>
      <c r="AL40" s="59">
        <f t="shared" si="31"/>
        <v>36046104.357291922</v>
      </c>
      <c r="AM40" s="59">
        <f t="shared" si="31"/>
        <v>36846272.464728147</v>
      </c>
      <c r="AN40" s="59">
        <f t="shared" si="31"/>
        <v>37664181.403307952</v>
      </c>
      <c r="AO40" s="59">
        <f t="shared" si="31"/>
        <v>38500224.083661944</v>
      </c>
      <c r="AP40" s="59">
        <f t="shared" si="31"/>
        <v>0</v>
      </c>
      <c r="AQ40" s="59">
        <f t="shared" si="31"/>
        <v>0</v>
      </c>
      <c r="AR40" s="59">
        <f t="shared" si="31"/>
        <v>0</v>
      </c>
      <c r="AS40" s="59">
        <f t="shared" si="31"/>
        <v>0</v>
      </c>
      <c r="AT40" s="59">
        <f t="shared" si="31"/>
        <v>0</v>
      </c>
    </row>
    <row r="41" spans="3:46" outlineLevel="1" x14ac:dyDescent="0.2"/>
    <row r="42" spans="3:46" outlineLevel="1" x14ac:dyDescent="0.2">
      <c r="D42" s="56" t="s">
        <v>84</v>
      </c>
      <c r="E42" s="57" t="s">
        <v>74</v>
      </c>
      <c r="F42" s="56"/>
      <c r="G42" s="56"/>
      <c r="H42" s="56"/>
      <c r="I42" s="56"/>
      <c r="J42" s="58">
        <f t="shared" si="26"/>
        <v>577793886.54100239</v>
      </c>
      <c r="K42" s="59">
        <f>-K27+K40</f>
        <v>-277500000</v>
      </c>
      <c r="L42" s="59">
        <f t="shared" ref="L42:AT42" si="32">-L27+L40</f>
        <v>20363517.376874998</v>
      </c>
      <c r="M42" s="59">
        <f t="shared" si="32"/>
        <v>20815877.995362982</v>
      </c>
      <c r="N42" s="59">
        <f t="shared" si="32"/>
        <v>21278274.430411316</v>
      </c>
      <c r="O42" s="59">
        <f t="shared" si="32"/>
        <v>21750929.073498081</v>
      </c>
      <c r="P42" s="59">
        <f t="shared" si="32"/>
        <v>22234069.239158519</v>
      </c>
      <c r="Q42" s="59">
        <f t="shared" si="32"/>
        <v>22727927.273865554</v>
      </c>
      <c r="R42" s="59">
        <f t="shared" si="32"/>
        <v>23232740.667316306</v>
      </c>
      <c r="S42" s="59">
        <f t="shared" si="32"/>
        <v>23748752.166177887</v>
      </c>
      <c r="T42" s="59">
        <f t="shared" si="32"/>
        <v>24276209.890346613</v>
      </c>
      <c r="U42" s="59">
        <f t="shared" si="32"/>
        <v>24815367.451776255</v>
      </c>
      <c r="V42" s="59">
        <f t="shared" si="32"/>
        <v>25366484.075931914</v>
      </c>
      <c r="W42" s="59">
        <f t="shared" si="32"/>
        <v>25929824.725927703</v>
      </c>
      <c r="X42" s="59">
        <f t="shared" si="32"/>
        <v>26505660.229407262</v>
      </c>
      <c r="Y42" s="59">
        <f t="shared" si="32"/>
        <v>27094267.40822788</v>
      </c>
      <c r="Z42" s="59">
        <f t="shared" si="32"/>
        <v>27695929.211009961</v>
      </c>
      <c r="AA42" s="59">
        <f t="shared" si="32"/>
        <v>28310934.848615181</v>
      </c>
      <c r="AB42" s="59">
        <f t="shared" si="32"/>
        <v>28939579.932617959</v>
      </c>
      <c r="AC42" s="59">
        <f t="shared" si="32"/>
        <v>29582166.616836444</v>
      </c>
      <c r="AD42" s="59">
        <f t="shared" si="32"/>
        <v>30239003.741990335</v>
      </c>
      <c r="AE42" s="59">
        <f t="shared" si="32"/>
        <v>30910406.983554807</v>
      </c>
      <c r="AF42" s="59">
        <f t="shared" si="32"/>
        <v>31596699.00288102</v>
      </c>
      <c r="AG42" s="59">
        <f t="shared" si="32"/>
        <v>32298209.601655196</v>
      </c>
      <c r="AH42" s="59">
        <f t="shared" si="32"/>
        <v>33015275.879770212</v>
      </c>
      <c r="AI42" s="59">
        <f t="shared" si="32"/>
        <v>33748242.396684885</v>
      </c>
      <c r="AJ42" s="59">
        <f t="shared" si="32"/>
        <v>34497461.336347908</v>
      </c>
      <c r="AK42" s="59">
        <f t="shared" si="32"/>
        <v>35263292.67576538</v>
      </c>
      <c r="AL42" s="59">
        <f t="shared" si="32"/>
        <v>36046104.357291922</v>
      </c>
      <c r="AM42" s="59">
        <f t="shared" si="32"/>
        <v>36846272.464728147</v>
      </c>
      <c r="AN42" s="59">
        <f t="shared" si="32"/>
        <v>37664181.403307952</v>
      </c>
      <c r="AO42" s="59">
        <f t="shared" si="32"/>
        <v>38500224.083661944</v>
      </c>
      <c r="AP42" s="59">
        <f t="shared" si="32"/>
        <v>0</v>
      </c>
      <c r="AQ42" s="59">
        <f t="shared" si="32"/>
        <v>0</v>
      </c>
      <c r="AR42" s="59">
        <f t="shared" si="32"/>
        <v>0</v>
      </c>
      <c r="AS42" s="59">
        <f t="shared" si="32"/>
        <v>0</v>
      </c>
      <c r="AT42" s="59">
        <f t="shared" si="32"/>
        <v>0</v>
      </c>
    </row>
    <row r="43" spans="3:46" outlineLevel="1" x14ac:dyDescent="0.2"/>
    <row r="44" spans="3:46" outlineLevel="1" x14ac:dyDescent="0.2">
      <c r="D44" s="45" t="s">
        <v>85</v>
      </c>
      <c r="E44" s="11" t="s">
        <v>13</v>
      </c>
      <c r="G44" s="60">
        <f>XIRR(K42:AT42,$K$6:$AT$6)</f>
        <v>8.2350984215736403E-2</v>
      </c>
    </row>
    <row r="46" spans="3:46" ht="20" x14ac:dyDescent="0.25">
      <c r="C46" s="29" t="s">
        <v>86</v>
      </c>
    </row>
    <row r="47" spans="3:46" outlineLevel="1" x14ac:dyDescent="0.2">
      <c r="D47" s="45" t="s">
        <v>87</v>
      </c>
      <c r="G47" s="32" t="s">
        <v>88</v>
      </c>
    </row>
    <row r="48" spans="3:46" outlineLevel="1" x14ac:dyDescent="0.2">
      <c r="D48" t="s">
        <v>61</v>
      </c>
      <c r="E48" s="11" t="s">
        <v>74</v>
      </c>
      <c r="G48" s="47">
        <f>J27</f>
        <v>277500000</v>
      </c>
      <c r="J48" s="58">
        <f t="shared" ref="J48:J52" si="33">SUM(K48:AT48)</f>
        <v>-277500000</v>
      </c>
      <c r="K48" s="47">
        <f>-$G$48/$J$12*K12</f>
        <v>0</v>
      </c>
      <c r="L48" s="47">
        <f t="shared" ref="L48:AT48" si="34">-$G$48/$J$12*L12</f>
        <v>-13875000</v>
      </c>
      <c r="M48" s="47">
        <f t="shared" si="34"/>
        <v>-13875000</v>
      </c>
      <c r="N48" s="47">
        <f t="shared" si="34"/>
        <v>-13875000</v>
      </c>
      <c r="O48" s="47">
        <f t="shared" si="34"/>
        <v>-13875000</v>
      </c>
      <c r="P48" s="47">
        <f t="shared" si="34"/>
        <v>-13875000</v>
      </c>
      <c r="Q48" s="47">
        <f t="shared" si="34"/>
        <v>-13875000</v>
      </c>
      <c r="R48" s="47">
        <f t="shared" si="34"/>
        <v>-13875000</v>
      </c>
      <c r="S48" s="47">
        <f t="shared" si="34"/>
        <v>-13875000</v>
      </c>
      <c r="T48" s="47">
        <f t="shared" si="34"/>
        <v>-13875000</v>
      </c>
      <c r="U48" s="47">
        <f t="shared" si="34"/>
        <v>-13875000</v>
      </c>
      <c r="V48" s="47">
        <f t="shared" si="34"/>
        <v>-13875000</v>
      </c>
      <c r="W48" s="47">
        <f t="shared" si="34"/>
        <v>-13875000</v>
      </c>
      <c r="X48" s="47">
        <f t="shared" si="34"/>
        <v>-13875000</v>
      </c>
      <c r="Y48" s="47">
        <f t="shared" si="34"/>
        <v>-13875000</v>
      </c>
      <c r="Z48" s="47">
        <f t="shared" si="34"/>
        <v>-13875000</v>
      </c>
      <c r="AA48" s="47">
        <f t="shared" si="34"/>
        <v>-13875000</v>
      </c>
      <c r="AB48" s="47">
        <f t="shared" si="34"/>
        <v>-13875000</v>
      </c>
      <c r="AC48" s="47">
        <f t="shared" si="34"/>
        <v>-13875000</v>
      </c>
      <c r="AD48" s="47">
        <f t="shared" si="34"/>
        <v>-13875000</v>
      </c>
      <c r="AE48" s="47">
        <f t="shared" si="34"/>
        <v>-13875000</v>
      </c>
      <c r="AF48" s="47">
        <f t="shared" si="34"/>
        <v>0</v>
      </c>
      <c r="AG48" s="47">
        <f t="shared" si="34"/>
        <v>0</v>
      </c>
      <c r="AH48" s="47">
        <f t="shared" si="34"/>
        <v>0</v>
      </c>
      <c r="AI48" s="47">
        <f t="shared" si="34"/>
        <v>0</v>
      </c>
      <c r="AJ48" s="47">
        <f t="shared" si="34"/>
        <v>0</v>
      </c>
      <c r="AK48" s="47">
        <f t="shared" si="34"/>
        <v>0</v>
      </c>
      <c r="AL48" s="47">
        <f t="shared" si="34"/>
        <v>0</v>
      </c>
      <c r="AM48" s="47">
        <f t="shared" si="34"/>
        <v>0</v>
      </c>
      <c r="AN48" s="47">
        <f t="shared" si="34"/>
        <v>0</v>
      </c>
      <c r="AO48" s="47">
        <f t="shared" si="34"/>
        <v>0</v>
      </c>
      <c r="AP48" s="47">
        <f t="shared" si="34"/>
        <v>0</v>
      </c>
      <c r="AQ48" s="47">
        <f t="shared" si="34"/>
        <v>0</v>
      </c>
      <c r="AR48" s="47">
        <f t="shared" si="34"/>
        <v>0</v>
      </c>
      <c r="AS48" s="47">
        <f t="shared" si="34"/>
        <v>0</v>
      </c>
      <c r="AT48" s="47">
        <f t="shared" si="34"/>
        <v>0</v>
      </c>
    </row>
    <row r="49" spans="3:46" outlineLevel="1" x14ac:dyDescent="0.2"/>
    <row r="50" spans="3:46" outlineLevel="1" x14ac:dyDescent="0.2">
      <c r="D50" s="56" t="s">
        <v>89</v>
      </c>
      <c r="E50" s="57" t="s">
        <v>74</v>
      </c>
      <c r="F50" s="56"/>
      <c r="G50" s="56"/>
      <c r="H50" s="56"/>
      <c r="I50" s="56"/>
      <c r="J50" s="58">
        <f t="shared" si="33"/>
        <v>577793886.54100239</v>
      </c>
      <c r="K50" s="59">
        <f>K40+K48</f>
        <v>0</v>
      </c>
      <c r="L50" s="59">
        <f t="shared" ref="L50:AT50" si="35">L40+L48</f>
        <v>6488517.3768749982</v>
      </c>
      <c r="M50" s="59">
        <f t="shared" si="35"/>
        <v>6940877.9953629822</v>
      </c>
      <c r="N50" s="59">
        <f t="shared" si="35"/>
        <v>7403274.4304113165</v>
      </c>
      <c r="O50" s="59">
        <f t="shared" si="35"/>
        <v>7875929.0734980814</v>
      </c>
      <c r="P50" s="59">
        <f t="shared" si="35"/>
        <v>8359069.2391585186</v>
      </c>
      <c r="Q50" s="59">
        <f t="shared" si="35"/>
        <v>8852927.2738655545</v>
      </c>
      <c r="R50" s="59">
        <f t="shared" si="35"/>
        <v>9357740.6673163064</v>
      </c>
      <c r="S50" s="59">
        <f t="shared" si="35"/>
        <v>9873752.1661778875</v>
      </c>
      <c r="T50" s="59">
        <f t="shared" si="35"/>
        <v>10401209.890346613</v>
      </c>
      <c r="U50" s="59">
        <f t="shared" si="35"/>
        <v>10940367.451776255</v>
      </c>
      <c r="V50" s="59">
        <f t="shared" si="35"/>
        <v>11491484.075931914</v>
      </c>
      <c r="W50" s="59">
        <f t="shared" si="35"/>
        <v>12054824.725927703</v>
      </c>
      <c r="X50" s="59">
        <f t="shared" si="35"/>
        <v>12630660.229407262</v>
      </c>
      <c r="Y50" s="59">
        <f t="shared" si="35"/>
        <v>13219267.40822788</v>
      </c>
      <c r="Z50" s="59">
        <f t="shared" si="35"/>
        <v>13820929.211009961</v>
      </c>
      <c r="AA50" s="59">
        <f t="shared" si="35"/>
        <v>14435934.848615181</v>
      </c>
      <c r="AB50" s="59">
        <f t="shared" si="35"/>
        <v>15064579.932617959</v>
      </c>
      <c r="AC50" s="59">
        <f t="shared" si="35"/>
        <v>15707166.616836444</v>
      </c>
      <c r="AD50" s="59">
        <f t="shared" si="35"/>
        <v>16364003.741990335</v>
      </c>
      <c r="AE50" s="59">
        <f t="shared" si="35"/>
        <v>17035406.983554807</v>
      </c>
      <c r="AF50" s="59">
        <f t="shared" si="35"/>
        <v>31596699.00288102</v>
      </c>
      <c r="AG50" s="59">
        <f t="shared" si="35"/>
        <v>32298209.601655196</v>
      </c>
      <c r="AH50" s="59">
        <f t="shared" si="35"/>
        <v>33015275.879770212</v>
      </c>
      <c r="AI50" s="59">
        <f t="shared" si="35"/>
        <v>33748242.396684885</v>
      </c>
      <c r="AJ50" s="59">
        <f t="shared" si="35"/>
        <v>34497461.336347908</v>
      </c>
      <c r="AK50" s="59">
        <f t="shared" si="35"/>
        <v>35263292.67576538</v>
      </c>
      <c r="AL50" s="59">
        <f t="shared" si="35"/>
        <v>36046104.357291922</v>
      </c>
      <c r="AM50" s="59">
        <f t="shared" si="35"/>
        <v>36846272.464728147</v>
      </c>
      <c r="AN50" s="59">
        <f t="shared" si="35"/>
        <v>37664181.403307952</v>
      </c>
      <c r="AO50" s="59">
        <f t="shared" si="35"/>
        <v>38500224.083661944</v>
      </c>
      <c r="AP50" s="59">
        <f t="shared" si="35"/>
        <v>0</v>
      </c>
      <c r="AQ50" s="59">
        <f t="shared" si="35"/>
        <v>0</v>
      </c>
      <c r="AR50" s="59">
        <f t="shared" si="35"/>
        <v>0</v>
      </c>
      <c r="AS50" s="59">
        <f t="shared" si="35"/>
        <v>0</v>
      </c>
      <c r="AT50" s="59">
        <f t="shared" si="35"/>
        <v>0</v>
      </c>
    </row>
    <row r="51" spans="3:46" outlineLevel="1" x14ac:dyDescent="0.2"/>
    <row r="52" spans="3:46" outlineLevel="1" x14ac:dyDescent="0.2">
      <c r="D52" t="s">
        <v>90</v>
      </c>
      <c r="E52" s="11" t="s">
        <v>74</v>
      </c>
      <c r="G52" s="35">
        <f>Inputs_TI!F43</f>
        <v>0.25</v>
      </c>
      <c r="J52" s="58">
        <f t="shared" si="33"/>
        <v>-144448471.6352506</v>
      </c>
      <c r="K52" s="7">
        <f>-$G$52*K50</f>
        <v>0</v>
      </c>
      <c r="L52" s="7">
        <f t="shared" ref="L52:AT52" si="36">-$G$52*L50</f>
        <v>-1622129.3442187496</v>
      </c>
      <c r="M52" s="7">
        <f t="shared" si="36"/>
        <v>-1735219.4988407455</v>
      </c>
      <c r="N52" s="7">
        <f t="shared" si="36"/>
        <v>-1850818.6076028291</v>
      </c>
      <c r="O52" s="7">
        <f t="shared" si="36"/>
        <v>-1968982.2683745204</v>
      </c>
      <c r="P52" s="7">
        <f t="shared" si="36"/>
        <v>-2089767.3097896297</v>
      </c>
      <c r="Q52" s="7">
        <f t="shared" si="36"/>
        <v>-2213231.8184663886</v>
      </c>
      <c r="R52" s="7">
        <f t="shared" si="36"/>
        <v>-2339435.1668290766</v>
      </c>
      <c r="S52" s="7">
        <f t="shared" si="36"/>
        <v>-2468438.0415444719</v>
      </c>
      <c r="T52" s="7">
        <f t="shared" si="36"/>
        <v>-2600302.4725866532</v>
      </c>
      <c r="U52" s="7">
        <f t="shared" si="36"/>
        <v>-2735091.8629440637</v>
      </c>
      <c r="V52" s="7">
        <f t="shared" si="36"/>
        <v>-2872871.0189829785</v>
      </c>
      <c r="W52" s="7">
        <f t="shared" si="36"/>
        <v>-3013706.1814819258</v>
      </c>
      <c r="X52" s="7">
        <f t="shared" si="36"/>
        <v>-3157665.0573518155</v>
      </c>
      <c r="Y52" s="7">
        <f t="shared" si="36"/>
        <v>-3304816.8520569699</v>
      </c>
      <c r="Z52" s="7">
        <f t="shared" si="36"/>
        <v>-3455232.3027524902</v>
      </c>
      <c r="AA52" s="7">
        <f t="shared" si="36"/>
        <v>-3608983.7121537952</v>
      </c>
      <c r="AB52" s="7">
        <f t="shared" si="36"/>
        <v>-3766144.9831544897</v>
      </c>
      <c r="AC52" s="7">
        <f t="shared" si="36"/>
        <v>-3926791.6542091109</v>
      </c>
      <c r="AD52" s="7">
        <f t="shared" si="36"/>
        <v>-4091000.9354975838</v>
      </c>
      <c r="AE52" s="7">
        <f t="shared" si="36"/>
        <v>-4258851.7458887016</v>
      </c>
      <c r="AF52" s="7">
        <f t="shared" si="36"/>
        <v>-7899174.7507202551</v>
      </c>
      <c r="AG52" s="7">
        <f t="shared" si="36"/>
        <v>-8074552.4004137991</v>
      </c>
      <c r="AH52" s="7">
        <f t="shared" si="36"/>
        <v>-8253818.969942553</v>
      </c>
      <c r="AI52" s="7">
        <f t="shared" si="36"/>
        <v>-8437060.5991712213</v>
      </c>
      <c r="AJ52" s="7">
        <f t="shared" si="36"/>
        <v>-8624365.3340869769</v>
      </c>
      <c r="AK52" s="7">
        <f t="shared" si="36"/>
        <v>-8815823.1689413451</v>
      </c>
      <c r="AL52" s="7">
        <f t="shared" si="36"/>
        <v>-9011526.0893229805</v>
      </c>
      <c r="AM52" s="7">
        <f t="shared" si="36"/>
        <v>-9211568.1161820367</v>
      </c>
      <c r="AN52" s="7">
        <f t="shared" si="36"/>
        <v>-9416045.350826988</v>
      </c>
      <c r="AO52" s="7">
        <f t="shared" si="36"/>
        <v>-9625056.0209154859</v>
      </c>
      <c r="AP52" s="7">
        <f t="shared" si="36"/>
        <v>0</v>
      </c>
      <c r="AQ52" s="7">
        <f t="shared" si="36"/>
        <v>0</v>
      </c>
      <c r="AR52" s="7">
        <f t="shared" si="36"/>
        <v>0</v>
      </c>
      <c r="AS52" s="7">
        <f t="shared" si="36"/>
        <v>0</v>
      </c>
      <c r="AT52" s="7">
        <f t="shared" si="36"/>
        <v>0</v>
      </c>
    </row>
    <row r="53" spans="3:46" outlineLevel="1" x14ac:dyDescent="0.2"/>
    <row r="54" spans="3:46" outlineLevel="1" x14ac:dyDescent="0.2">
      <c r="D54" s="56" t="s">
        <v>91</v>
      </c>
      <c r="E54" s="57" t="s">
        <v>74</v>
      </c>
      <c r="F54" s="56"/>
      <c r="G54" s="56"/>
      <c r="H54" s="56"/>
      <c r="I54" s="56"/>
      <c r="J54" s="58">
        <f t="shared" ref="J54" si="37">SUM(K54:AT54)</f>
        <v>433345414.90575188</v>
      </c>
      <c r="K54" s="59">
        <f>K42+K52</f>
        <v>-277500000</v>
      </c>
      <c r="L54" s="59">
        <f t="shared" ref="L54:AT54" si="38">L42+L52</f>
        <v>18741388.032656249</v>
      </c>
      <c r="M54" s="59">
        <f t="shared" si="38"/>
        <v>19080658.496522237</v>
      </c>
      <c r="N54" s="59">
        <f t="shared" si="38"/>
        <v>19427455.822808489</v>
      </c>
      <c r="O54" s="59">
        <f t="shared" si="38"/>
        <v>19781946.80512356</v>
      </c>
      <c r="P54" s="59">
        <f t="shared" si="38"/>
        <v>20144301.929368891</v>
      </c>
      <c r="Q54" s="59">
        <f t="shared" si="38"/>
        <v>20514695.455399167</v>
      </c>
      <c r="R54" s="59">
        <f t="shared" si="38"/>
        <v>20893305.500487231</v>
      </c>
      <c r="S54" s="59">
        <f t="shared" si="38"/>
        <v>21280314.124633417</v>
      </c>
      <c r="T54" s="59">
        <f t="shared" si="38"/>
        <v>21675907.417759959</v>
      </c>
      <c r="U54" s="59">
        <f t="shared" si="38"/>
        <v>22080275.588832192</v>
      </c>
      <c r="V54" s="59">
        <f t="shared" si="38"/>
        <v>22493613.056948937</v>
      </c>
      <c r="W54" s="59">
        <f t="shared" si="38"/>
        <v>22916118.544445775</v>
      </c>
      <c r="X54" s="59">
        <f t="shared" si="38"/>
        <v>23347995.172055446</v>
      </c>
      <c r="Y54" s="59">
        <f t="shared" si="38"/>
        <v>23789450.556170911</v>
      </c>
      <c r="Z54" s="59">
        <f t="shared" si="38"/>
        <v>24240696.90825747</v>
      </c>
      <c r="AA54" s="59">
        <f t="shared" si="38"/>
        <v>24701951.136461385</v>
      </c>
      <c r="AB54" s="59">
        <f t="shared" si="38"/>
        <v>25173434.949463468</v>
      </c>
      <c r="AC54" s="59">
        <f t="shared" si="38"/>
        <v>25655374.962627333</v>
      </c>
      <c r="AD54" s="59">
        <f t="shared" si="38"/>
        <v>26148002.806492753</v>
      </c>
      <c r="AE54" s="59">
        <f t="shared" si="38"/>
        <v>26651555.237666104</v>
      </c>
      <c r="AF54" s="59">
        <f t="shared" si="38"/>
        <v>23697524.252160765</v>
      </c>
      <c r="AG54" s="59">
        <f t="shared" si="38"/>
        <v>24223657.201241396</v>
      </c>
      <c r="AH54" s="59">
        <f t="shared" si="38"/>
        <v>24761456.909827657</v>
      </c>
      <c r="AI54" s="59">
        <f t="shared" si="38"/>
        <v>25311181.797513664</v>
      </c>
      <c r="AJ54" s="59">
        <f t="shared" si="38"/>
        <v>25873096.002260931</v>
      </c>
      <c r="AK54" s="59">
        <f t="shared" si="38"/>
        <v>26447469.506824035</v>
      </c>
      <c r="AL54" s="59">
        <f t="shared" si="38"/>
        <v>27034578.267968941</v>
      </c>
      <c r="AM54" s="59">
        <f t="shared" si="38"/>
        <v>27634704.34854611</v>
      </c>
      <c r="AN54" s="59">
        <f t="shared" si="38"/>
        <v>28248136.052480966</v>
      </c>
      <c r="AO54" s="59">
        <f t="shared" si="38"/>
        <v>28875168.062746458</v>
      </c>
      <c r="AP54" s="59">
        <f t="shared" si="38"/>
        <v>0</v>
      </c>
      <c r="AQ54" s="59">
        <f t="shared" si="38"/>
        <v>0</v>
      </c>
      <c r="AR54" s="59">
        <f t="shared" si="38"/>
        <v>0</v>
      </c>
      <c r="AS54" s="59">
        <f t="shared" si="38"/>
        <v>0</v>
      </c>
      <c r="AT54" s="59">
        <f t="shared" si="38"/>
        <v>0</v>
      </c>
    </row>
    <row r="55" spans="3:46" outlineLevel="1" x14ac:dyDescent="0.2"/>
    <row r="56" spans="3:46" outlineLevel="1" x14ac:dyDescent="0.2">
      <c r="D56" s="45" t="s">
        <v>92</v>
      </c>
      <c r="E56" s="11" t="s">
        <v>13</v>
      </c>
      <c r="G56" s="60">
        <f>XIRR(K54:AT54,$K$6:$AT$6)</f>
        <v>6.9184342026710519E-2</v>
      </c>
    </row>
    <row r="58" spans="3:46" ht="20" x14ac:dyDescent="0.25">
      <c r="C58" s="29" t="s">
        <v>93</v>
      </c>
    </row>
    <row r="59" spans="3:46" outlineLevel="1" x14ac:dyDescent="0.2">
      <c r="D59" s="45" t="s">
        <v>96</v>
      </c>
      <c r="E59" s="11" t="s">
        <v>74</v>
      </c>
    </row>
    <row r="60" spans="3:46" outlineLevel="1" x14ac:dyDescent="0.2">
      <c r="D60" t="s">
        <v>83</v>
      </c>
      <c r="E60" s="11" t="s">
        <v>74</v>
      </c>
      <c r="J60" s="58">
        <f t="shared" ref="J60:J62" si="39">SUM(K60:AT60)</f>
        <v>855293886.54100239</v>
      </c>
      <c r="K60" s="47">
        <f>K40</f>
        <v>0</v>
      </c>
      <c r="L60" s="47">
        <f t="shared" ref="L60:AT60" si="40">L40</f>
        <v>20363517.376874998</v>
      </c>
      <c r="M60" s="47">
        <f t="shared" si="40"/>
        <v>20815877.995362982</v>
      </c>
      <c r="N60" s="47">
        <f t="shared" si="40"/>
        <v>21278274.430411316</v>
      </c>
      <c r="O60" s="47">
        <f t="shared" si="40"/>
        <v>21750929.073498081</v>
      </c>
      <c r="P60" s="47">
        <f t="shared" si="40"/>
        <v>22234069.239158519</v>
      </c>
      <c r="Q60" s="47">
        <f t="shared" si="40"/>
        <v>22727927.273865554</v>
      </c>
      <c r="R60" s="47">
        <f t="shared" si="40"/>
        <v>23232740.667316306</v>
      </c>
      <c r="S60" s="47">
        <f t="shared" si="40"/>
        <v>23748752.166177887</v>
      </c>
      <c r="T60" s="47">
        <f t="shared" si="40"/>
        <v>24276209.890346613</v>
      </c>
      <c r="U60" s="47">
        <f t="shared" si="40"/>
        <v>24815367.451776255</v>
      </c>
      <c r="V60" s="47">
        <f t="shared" si="40"/>
        <v>25366484.075931914</v>
      </c>
      <c r="W60" s="47">
        <f t="shared" si="40"/>
        <v>25929824.725927703</v>
      </c>
      <c r="X60" s="47">
        <f t="shared" si="40"/>
        <v>26505660.229407262</v>
      </c>
      <c r="Y60" s="47">
        <f t="shared" si="40"/>
        <v>27094267.40822788</v>
      </c>
      <c r="Z60" s="47">
        <f t="shared" si="40"/>
        <v>27695929.211009961</v>
      </c>
      <c r="AA60" s="47">
        <f t="shared" si="40"/>
        <v>28310934.848615181</v>
      </c>
      <c r="AB60" s="47">
        <f t="shared" si="40"/>
        <v>28939579.932617959</v>
      </c>
      <c r="AC60" s="47">
        <f t="shared" si="40"/>
        <v>29582166.616836444</v>
      </c>
      <c r="AD60" s="47">
        <f t="shared" si="40"/>
        <v>30239003.741990335</v>
      </c>
      <c r="AE60" s="47">
        <f t="shared" si="40"/>
        <v>30910406.983554807</v>
      </c>
      <c r="AF60" s="47">
        <f t="shared" si="40"/>
        <v>31596699.00288102</v>
      </c>
      <c r="AG60" s="47">
        <f t="shared" si="40"/>
        <v>32298209.601655196</v>
      </c>
      <c r="AH60" s="47">
        <f t="shared" si="40"/>
        <v>33015275.879770212</v>
      </c>
      <c r="AI60" s="47">
        <f t="shared" si="40"/>
        <v>33748242.396684885</v>
      </c>
      <c r="AJ60" s="47">
        <f t="shared" si="40"/>
        <v>34497461.336347908</v>
      </c>
      <c r="AK60" s="47">
        <f t="shared" si="40"/>
        <v>35263292.67576538</v>
      </c>
      <c r="AL60" s="47">
        <f t="shared" si="40"/>
        <v>36046104.357291922</v>
      </c>
      <c r="AM60" s="47">
        <f t="shared" si="40"/>
        <v>36846272.464728147</v>
      </c>
      <c r="AN60" s="47">
        <f t="shared" si="40"/>
        <v>37664181.403307952</v>
      </c>
      <c r="AO60" s="47">
        <f t="shared" si="40"/>
        <v>38500224.083661944</v>
      </c>
      <c r="AP60" s="47">
        <f t="shared" si="40"/>
        <v>0</v>
      </c>
      <c r="AQ60" s="47">
        <f t="shared" si="40"/>
        <v>0</v>
      </c>
      <c r="AR60" s="47">
        <f t="shared" si="40"/>
        <v>0</v>
      </c>
      <c r="AS60" s="47">
        <f t="shared" si="40"/>
        <v>0</v>
      </c>
      <c r="AT60" s="47">
        <f t="shared" si="40"/>
        <v>0</v>
      </c>
    </row>
    <row r="61" spans="3:46" outlineLevel="1" x14ac:dyDescent="0.2">
      <c r="D61" t="s">
        <v>94</v>
      </c>
      <c r="E61" s="11" t="s">
        <v>74</v>
      </c>
      <c r="J61" s="58">
        <f t="shared" ca="1" si="39"/>
        <v>-103169943.08264145</v>
      </c>
      <c r="K61" s="47">
        <f>-K70</f>
        <v>0</v>
      </c>
      <c r="L61" s="47">
        <f t="shared" ref="L61:AT61" ca="1" si="41">-L70</f>
        <v>1490330.4235368073</v>
      </c>
      <c r="M61" s="47">
        <f t="shared" ca="1" si="41"/>
        <v>1293714.0837723594</v>
      </c>
      <c r="N61" s="47">
        <f t="shared" ca="1" si="41"/>
        <v>1129486.0453185379</v>
      </c>
      <c r="O61" s="47">
        <f t="shared" ca="1" si="41"/>
        <v>950377.5218614745</v>
      </c>
      <c r="P61" s="47">
        <f t="shared" ca="1" si="41"/>
        <v>765513.19095645659</v>
      </c>
      <c r="Q61" s="47">
        <f t="shared" ca="1" si="41"/>
        <v>567054.22279857052</v>
      </c>
      <c r="R61" s="47">
        <f t="shared" ca="1" si="41"/>
        <v>351059.81287619611</v>
      </c>
      <c r="S61" s="47">
        <f t="shared" ca="1" si="41"/>
        <v>120386.19389940286</v>
      </c>
      <c r="T61" s="47">
        <f t="shared" ca="1" si="41"/>
        <v>-122474.24658480613</v>
      </c>
      <c r="U61" s="47">
        <f t="shared" ca="1" si="41"/>
        <v>-379377.93167160824</v>
      </c>
      <c r="V61" s="47">
        <f t="shared" ca="1" si="41"/>
        <v>-652980.04403821984</v>
      </c>
      <c r="W61" s="47">
        <f t="shared" ca="1" si="41"/>
        <v>-945572.40503553115</v>
      </c>
      <c r="X61" s="47">
        <f t="shared" ca="1" si="41"/>
        <v>-1257417.4044678833</v>
      </c>
      <c r="Y61" s="47">
        <f t="shared" ca="1" si="41"/>
        <v>-1588671.5865110676</v>
      </c>
      <c r="Z61" s="47">
        <f t="shared" ca="1" si="41"/>
        <v>-1938744.8651489832</v>
      </c>
      <c r="AA61" s="47">
        <f t="shared" ca="1" si="41"/>
        <v>-2307213.3361366624</v>
      </c>
      <c r="AB61" s="47">
        <f t="shared" ca="1" si="41"/>
        <v>-2692994.2603417439</v>
      </c>
      <c r="AC61" s="47">
        <f t="shared" ca="1" si="41"/>
        <v>-3097424.3603748218</v>
      </c>
      <c r="AD61" s="47">
        <f t="shared" ca="1" si="41"/>
        <v>-3521038.3239034317</v>
      </c>
      <c r="AE61" s="47">
        <f t="shared" ca="1" si="41"/>
        <v>-3964965.0129228407</v>
      </c>
      <c r="AF61" s="47">
        <f t="shared" ca="1" si="41"/>
        <v>-7899174.7507202551</v>
      </c>
      <c r="AG61" s="47">
        <f t="shared" ca="1" si="41"/>
        <v>-8074552.4004137991</v>
      </c>
      <c r="AH61" s="47">
        <f t="shared" ca="1" si="41"/>
        <v>-8253818.969942553</v>
      </c>
      <c r="AI61" s="47">
        <f t="shared" ca="1" si="41"/>
        <v>-8437060.5991712213</v>
      </c>
      <c r="AJ61" s="47">
        <f t="shared" ca="1" si="41"/>
        <v>-8624365.3340869769</v>
      </c>
      <c r="AK61" s="47">
        <f t="shared" ca="1" si="41"/>
        <v>-8815823.1689413451</v>
      </c>
      <c r="AL61" s="47">
        <f t="shared" ca="1" si="41"/>
        <v>-9011526.0893229805</v>
      </c>
      <c r="AM61" s="47">
        <f t="shared" ca="1" si="41"/>
        <v>-9211568.1161820367</v>
      </c>
      <c r="AN61" s="47">
        <f t="shared" ca="1" si="41"/>
        <v>-9416045.350826988</v>
      </c>
      <c r="AO61" s="47">
        <f t="shared" ca="1" si="41"/>
        <v>-9625056.0209154859</v>
      </c>
      <c r="AP61" s="47">
        <f t="shared" ca="1" si="41"/>
        <v>0</v>
      </c>
      <c r="AQ61" s="47">
        <f t="shared" ca="1" si="41"/>
        <v>0</v>
      </c>
      <c r="AR61" s="47">
        <f t="shared" ca="1" si="41"/>
        <v>0</v>
      </c>
      <c r="AS61" s="47">
        <f t="shared" ca="1" si="41"/>
        <v>0</v>
      </c>
      <c r="AT61" s="47">
        <f t="shared" ca="1" si="41"/>
        <v>0</v>
      </c>
    </row>
    <row r="62" spans="3:46" outlineLevel="1" x14ac:dyDescent="0.2">
      <c r="D62" s="56" t="s">
        <v>95</v>
      </c>
      <c r="E62" s="55" t="s">
        <v>74</v>
      </c>
      <c r="F62" s="56"/>
      <c r="G62" s="56"/>
      <c r="H62" s="56"/>
      <c r="I62" s="56"/>
      <c r="J62" s="58">
        <f t="shared" ca="1" si="39"/>
        <v>752123943.45836091</v>
      </c>
      <c r="K62" s="59">
        <f>SUM(K60:K61)</f>
        <v>0</v>
      </c>
      <c r="L62" s="59">
        <f t="shared" ref="L62:AT62" ca="1" si="42">SUM(L60:L61)</f>
        <v>21853847.800411806</v>
      </c>
      <c r="M62" s="59">
        <f t="shared" ca="1" si="42"/>
        <v>22109592.079135343</v>
      </c>
      <c r="N62" s="59">
        <f t="shared" ca="1" si="42"/>
        <v>22407760.475729853</v>
      </c>
      <c r="O62" s="59">
        <f t="shared" ca="1" si="42"/>
        <v>22701306.595359556</v>
      </c>
      <c r="P62" s="59">
        <f t="shared" ca="1" si="42"/>
        <v>22999582.430114977</v>
      </c>
      <c r="Q62" s="59">
        <f t="shared" ca="1" si="42"/>
        <v>23294981.496664125</v>
      </c>
      <c r="R62" s="59">
        <f t="shared" ca="1" si="42"/>
        <v>23583800.480192501</v>
      </c>
      <c r="S62" s="59">
        <f t="shared" ca="1" si="42"/>
        <v>23869138.360077292</v>
      </c>
      <c r="T62" s="59">
        <f t="shared" ca="1" si="42"/>
        <v>24153735.643761806</v>
      </c>
      <c r="U62" s="59">
        <f t="shared" ca="1" si="42"/>
        <v>24435989.520104647</v>
      </c>
      <c r="V62" s="59">
        <f t="shared" ca="1" si="42"/>
        <v>24713504.031893693</v>
      </c>
      <c r="W62" s="59">
        <f t="shared" ca="1" si="42"/>
        <v>24984252.32089217</v>
      </c>
      <c r="X62" s="59">
        <f t="shared" ca="1" si="42"/>
        <v>25248242.824939378</v>
      </c>
      <c r="Y62" s="59">
        <f t="shared" ca="1" si="42"/>
        <v>25505595.821716812</v>
      </c>
      <c r="Z62" s="59">
        <f t="shared" ca="1" si="42"/>
        <v>25757184.345860977</v>
      </c>
      <c r="AA62" s="59">
        <f t="shared" ca="1" si="42"/>
        <v>26003721.512478519</v>
      </c>
      <c r="AB62" s="59">
        <f t="shared" ca="1" si="42"/>
        <v>26246585.672276214</v>
      </c>
      <c r="AC62" s="59">
        <f t="shared" ca="1" si="42"/>
        <v>26484742.25646162</v>
      </c>
      <c r="AD62" s="59">
        <f t="shared" ca="1" si="42"/>
        <v>26717965.418086905</v>
      </c>
      <c r="AE62" s="59">
        <f t="shared" ca="1" si="42"/>
        <v>26945441.970631965</v>
      </c>
      <c r="AF62" s="59">
        <f t="shared" ca="1" si="42"/>
        <v>23697524.252160765</v>
      </c>
      <c r="AG62" s="59">
        <f t="shared" ca="1" si="42"/>
        <v>24223657.201241396</v>
      </c>
      <c r="AH62" s="59">
        <f t="shared" ca="1" si="42"/>
        <v>24761456.909827657</v>
      </c>
      <c r="AI62" s="59">
        <f t="shared" ca="1" si="42"/>
        <v>25311181.797513664</v>
      </c>
      <c r="AJ62" s="59">
        <f t="shared" ca="1" si="42"/>
        <v>25873096.002260931</v>
      </c>
      <c r="AK62" s="59">
        <f t="shared" ca="1" si="42"/>
        <v>26447469.506824035</v>
      </c>
      <c r="AL62" s="59">
        <f t="shared" ca="1" si="42"/>
        <v>27034578.267968941</v>
      </c>
      <c r="AM62" s="59">
        <f t="shared" ca="1" si="42"/>
        <v>27634704.34854611</v>
      </c>
      <c r="AN62" s="59">
        <f t="shared" ca="1" si="42"/>
        <v>28248136.052480966</v>
      </c>
      <c r="AO62" s="59">
        <f t="shared" ca="1" si="42"/>
        <v>28875168.062746458</v>
      </c>
      <c r="AP62" s="59">
        <f t="shared" ca="1" si="42"/>
        <v>0</v>
      </c>
      <c r="AQ62" s="59">
        <f t="shared" ca="1" si="42"/>
        <v>0</v>
      </c>
      <c r="AR62" s="59">
        <f t="shared" ca="1" si="42"/>
        <v>0</v>
      </c>
      <c r="AS62" s="59">
        <f t="shared" ca="1" si="42"/>
        <v>0</v>
      </c>
      <c r="AT62" s="59">
        <f t="shared" ca="1" si="42"/>
        <v>0</v>
      </c>
    </row>
    <row r="63" spans="3:46" outlineLevel="1" x14ac:dyDescent="0.2"/>
    <row r="64" spans="3:46" outlineLevel="1" x14ac:dyDescent="0.2">
      <c r="D64" s="45" t="s">
        <v>97</v>
      </c>
    </row>
    <row r="65" spans="4:46" outlineLevel="1" x14ac:dyDescent="0.2">
      <c r="D65" t="s">
        <v>83</v>
      </c>
      <c r="E65" s="11" t="s">
        <v>74</v>
      </c>
      <c r="J65" s="58">
        <f t="shared" ref="J65:J70" si="43">SUM(K65:AT65)</f>
        <v>855293886.54100239</v>
      </c>
      <c r="K65" s="47">
        <f t="shared" ref="K65:AT65" si="44">K40</f>
        <v>0</v>
      </c>
      <c r="L65" s="47">
        <f t="shared" si="44"/>
        <v>20363517.376874998</v>
      </c>
      <c r="M65" s="47">
        <f t="shared" si="44"/>
        <v>20815877.995362982</v>
      </c>
      <c r="N65" s="47">
        <f t="shared" si="44"/>
        <v>21278274.430411316</v>
      </c>
      <c r="O65" s="47">
        <f t="shared" si="44"/>
        <v>21750929.073498081</v>
      </c>
      <c r="P65" s="47">
        <f t="shared" si="44"/>
        <v>22234069.239158519</v>
      </c>
      <c r="Q65" s="47">
        <f t="shared" si="44"/>
        <v>22727927.273865554</v>
      </c>
      <c r="R65" s="47">
        <f t="shared" si="44"/>
        <v>23232740.667316306</v>
      </c>
      <c r="S65" s="47">
        <f t="shared" si="44"/>
        <v>23748752.166177887</v>
      </c>
      <c r="T65" s="47">
        <f t="shared" si="44"/>
        <v>24276209.890346613</v>
      </c>
      <c r="U65" s="47">
        <f t="shared" si="44"/>
        <v>24815367.451776255</v>
      </c>
      <c r="V65" s="47">
        <f t="shared" si="44"/>
        <v>25366484.075931914</v>
      </c>
      <c r="W65" s="47">
        <f t="shared" si="44"/>
        <v>25929824.725927703</v>
      </c>
      <c r="X65" s="47">
        <f t="shared" si="44"/>
        <v>26505660.229407262</v>
      </c>
      <c r="Y65" s="47">
        <f t="shared" si="44"/>
        <v>27094267.40822788</v>
      </c>
      <c r="Z65" s="47">
        <f t="shared" si="44"/>
        <v>27695929.211009961</v>
      </c>
      <c r="AA65" s="47">
        <f t="shared" si="44"/>
        <v>28310934.848615181</v>
      </c>
      <c r="AB65" s="47">
        <f t="shared" si="44"/>
        <v>28939579.932617959</v>
      </c>
      <c r="AC65" s="47">
        <f t="shared" si="44"/>
        <v>29582166.616836444</v>
      </c>
      <c r="AD65" s="47">
        <f t="shared" si="44"/>
        <v>30239003.741990335</v>
      </c>
      <c r="AE65" s="47">
        <f t="shared" si="44"/>
        <v>30910406.983554807</v>
      </c>
      <c r="AF65" s="47">
        <f t="shared" si="44"/>
        <v>31596699.00288102</v>
      </c>
      <c r="AG65" s="47">
        <f t="shared" si="44"/>
        <v>32298209.601655196</v>
      </c>
      <c r="AH65" s="47">
        <f t="shared" si="44"/>
        <v>33015275.879770212</v>
      </c>
      <c r="AI65" s="47">
        <f t="shared" si="44"/>
        <v>33748242.396684885</v>
      </c>
      <c r="AJ65" s="47">
        <f t="shared" si="44"/>
        <v>34497461.336347908</v>
      </c>
      <c r="AK65" s="47">
        <f t="shared" si="44"/>
        <v>35263292.67576538</v>
      </c>
      <c r="AL65" s="47">
        <f t="shared" si="44"/>
        <v>36046104.357291922</v>
      </c>
      <c r="AM65" s="47">
        <f t="shared" si="44"/>
        <v>36846272.464728147</v>
      </c>
      <c r="AN65" s="47">
        <f t="shared" si="44"/>
        <v>37664181.403307952</v>
      </c>
      <c r="AO65" s="47">
        <f t="shared" si="44"/>
        <v>38500224.083661944</v>
      </c>
      <c r="AP65" s="47">
        <f t="shared" si="44"/>
        <v>0</v>
      </c>
      <c r="AQ65" s="47">
        <f t="shared" si="44"/>
        <v>0</v>
      </c>
      <c r="AR65" s="47">
        <f t="shared" si="44"/>
        <v>0</v>
      </c>
      <c r="AS65" s="47">
        <f t="shared" si="44"/>
        <v>0</v>
      </c>
      <c r="AT65" s="47">
        <f t="shared" si="44"/>
        <v>0</v>
      </c>
    </row>
    <row r="66" spans="4:46" outlineLevel="1" x14ac:dyDescent="0.2">
      <c r="D66" t="s">
        <v>98</v>
      </c>
      <c r="E66" s="11" t="s">
        <v>74</v>
      </c>
      <c r="J66" s="58">
        <f t="shared" si="43"/>
        <v>-277500000</v>
      </c>
      <c r="K66" s="47">
        <f t="shared" ref="K66:AT66" si="45">K48</f>
        <v>0</v>
      </c>
      <c r="L66" s="47">
        <f t="shared" si="45"/>
        <v>-13875000</v>
      </c>
      <c r="M66" s="47">
        <f t="shared" si="45"/>
        <v>-13875000</v>
      </c>
      <c r="N66" s="47">
        <f t="shared" si="45"/>
        <v>-13875000</v>
      </c>
      <c r="O66" s="47">
        <f t="shared" si="45"/>
        <v>-13875000</v>
      </c>
      <c r="P66" s="47">
        <f t="shared" si="45"/>
        <v>-13875000</v>
      </c>
      <c r="Q66" s="47">
        <f t="shared" si="45"/>
        <v>-13875000</v>
      </c>
      <c r="R66" s="47">
        <f t="shared" si="45"/>
        <v>-13875000</v>
      </c>
      <c r="S66" s="47">
        <f t="shared" si="45"/>
        <v>-13875000</v>
      </c>
      <c r="T66" s="47">
        <f t="shared" si="45"/>
        <v>-13875000</v>
      </c>
      <c r="U66" s="47">
        <f t="shared" si="45"/>
        <v>-13875000</v>
      </c>
      <c r="V66" s="47">
        <f t="shared" si="45"/>
        <v>-13875000</v>
      </c>
      <c r="W66" s="47">
        <f t="shared" si="45"/>
        <v>-13875000</v>
      </c>
      <c r="X66" s="47">
        <f t="shared" si="45"/>
        <v>-13875000</v>
      </c>
      <c r="Y66" s="47">
        <f t="shared" si="45"/>
        <v>-13875000</v>
      </c>
      <c r="Z66" s="47">
        <f t="shared" si="45"/>
        <v>-13875000</v>
      </c>
      <c r="AA66" s="47">
        <f t="shared" si="45"/>
        <v>-13875000</v>
      </c>
      <c r="AB66" s="47">
        <f t="shared" si="45"/>
        <v>-13875000</v>
      </c>
      <c r="AC66" s="47">
        <f t="shared" si="45"/>
        <v>-13875000</v>
      </c>
      <c r="AD66" s="47">
        <f t="shared" si="45"/>
        <v>-13875000</v>
      </c>
      <c r="AE66" s="47">
        <f t="shared" si="45"/>
        <v>-13875000</v>
      </c>
      <c r="AF66" s="47">
        <f t="shared" si="45"/>
        <v>0</v>
      </c>
      <c r="AG66" s="47">
        <f t="shared" si="45"/>
        <v>0</v>
      </c>
      <c r="AH66" s="47">
        <f t="shared" si="45"/>
        <v>0</v>
      </c>
      <c r="AI66" s="47">
        <f t="shared" si="45"/>
        <v>0</v>
      </c>
      <c r="AJ66" s="47">
        <f t="shared" si="45"/>
        <v>0</v>
      </c>
      <c r="AK66" s="47">
        <f t="shared" si="45"/>
        <v>0</v>
      </c>
      <c r="AL66" s="47">
        <f t="shared" si="45"/>
        <v>0</v>
      </c>
      <c r="AM66" s="47">
        <f t="shared" si="45"/>
        <v>0</v>
      </c>
      <c r="AN66" s="47">
        <f t="shared" si="45"/>
        <v>0</v>
      </c>
      <c r="AO66" s="47">
        <f t="shared" si="45"/>
        <v>0</v>
      </c>
      <c r="AP66" s="47">
        <f t="shared" si="45"/>
        <v>0</v>
      </c>
      <c r="AQ66" s="47">
        <f t="shared" si="45"/>
        <v>0</v>
      </c>
      <c r="AR66" s="47">
        <f t="shared" si="45"/>
        <v>0</v>
      </c>
      <c r="AS66" s="47">
        <f t="shared" si="45"/>
        <v>0</v>
      </c>
      <c r="AT66" s="47">
        <f t="shared" si="45"/>
        <v>0</v>
      </c>
    </row>
    <row r="67" spans="4:46" outlineLevel="1" x14ac:dyDescent="0.2">
      <c r="D67" t="s">
        <v>99</v>
      </c>
      <c r="E67" s="11" t="s">
        <v>74</v>
      </c>
      <c r="J67" s="58">
        <f t="shared" si="43"/>
        <v>577793886.54100239</v>
      </c>
      <c r="K67" s="47">
        <f>SUM(K65:K66)</f>
        <v>0</v>
      </c>
      <c r="L67" s="47">
        <f t="shared" ref="L67:AT67" si="46">SUM(L65:L66)</f>
        <v>6488517.3768749982</v>
      </c>
      <c r="M67" s="47">
        <f t="shared" si="46"/>
        <v>6940877.9953629822</v>
      </c>
      <c r="N67" s="47">
        <f t="shared" si="46"/>
        <v>7403274.4304113165</v>
      </c>
      <c r="O67" s="47">
        <f t="shared" si="46"/>
        <v>7875929.0734980814</v>
      </c>
      <c r="P67" s="47">
        <f t="shared" si="46"/>
        <v>8359069.2391585186</v>
      </c>
      <c r="Q67" s="47">
        <f t="shared" si="46"/>
        <v>8852927.2738655545</v>
      </c>
      <c r="R67" s="47">
        <f t="shared" si="46"/>
        <v>9357740.6673163064</v>
      </c>
      <c r="S67" s="47">
        <f t="shared" si="46"/>
        <v>9873752.1661778875</v>
      </c>
      <c r="T67" s="47">
        <f t="shared" si="46"/>
        <v>10401209.890346613</v>
      </c>
      <c r="U67" s="47">
        <f t="shared" si="46"/>
        <v>10940367.451776255</v>
      </c>
      <c r="V67" s="47">
        <f t="shared" si="46"/>
        <v>11491484.075931914</v>
      </c>
      <c r="W67" s="47">
        <f t="shared" si="46"/>
        <v>12054824.725927703</v>
      </c>
      <c r="X67" s="47">
        <f t="shared" si="46"/>
        <v>12630660.229407262</v>
      </c>
      <c r="Y67" s="47">
        <f t="shared" si="46"/>
        <v>13219267.40822788</v>
      </c>
      <c r="Z67" s="47">
        <f t="shared" si="46"/>
        <v>13820929.211009961</v>
      </c>
      <c r="AA67" s="47">
        <f t="shared" si="46"/>
        <v>14435934.848615181</v>
      </c>
      <c r="AB67" s="47">
        <f t="shared" si="46"/>
        <v>15064579.932617959</v>
      </c>
      <c r="AC67" s="47">
        <f t="shared" si="46"/>
        <v>15707166.616836444</v>
      </c>
      <c r="AD67" s="47">
        <f t="shared" si="46"/>
        <v>16364003.741990335</v>
      </c>
      <c r="AE67" s="47">
        <f t="shared" si="46"/>
        <v>17035406.983554807</v>
      </c>
      <c r="AF67" s="47">
        <f t="shared" si="46"/>
        <v>31596699.00288102</v>
      </c>
      <c r="AG67" s="47">
        <f t="shared" si="46"/>
        <v>32298209.601655196</v>
      </c>
      <c r="AH67" s="47">
        <f t="shared" si="46"/>
        <v>33015275.879770212</v>
      </c>
      <c r="AI67" s="47">
        <f t="shared" si="46"/>
        <v>33748242.396684885</v>
      </c>
      <c r="AJ67" s="47">
        <f t="shared" si="46"/>
        <v>34497461.336347908</v>
      </c>
      <c r="AK67" s="47">
        <f t="shared" si="46"/>
        <v>35263292.67576538</v>
      </c>
      <c r="AL67" s="47">
        <f t="shared" si="46"/>
        <v>36046104.357291922</v>
      </c>
      <c r="AM67" s="47">
        <f t="shared" si="46"/>
        <v>36846272.464728147</v>
      </c>
      <c r="AN67" s="47">
        <f t="shared" si="46"/>
        <v>37664181.403307952</v>
      </c>
      <c r="AO67" s="47">
        <f t="shared" si="46"/>
        <v>38500224.083661944</v>
      </c>
      <c r="AP67" s="47">
        <f t="shared" si="46"/>
        <v>0</v>
      </c>
      <c r="AQ67" s="47">
        <f t="shared" si="46"/>
        <v>0</v>
      </c>
      <c r="AR67" s="47">
        <f t="shared" si="46"/>
        <v>0</v>
      </c>
      <c r="AS67" s="47">
        <f t="shared" si="46"/>
        <v>0</v>
      </c>
      <c r="AT67" s="47">
        <f t="shared" si="46"/>
        <v>0</v>
      </c>
    </row>
    <row r="68" spans="4:46" outlineLevel="1" x14ac:dyDescent="0.2">
      <c r="D68" t="s">
        <v>100</v>
      </c>
      <c r="E68" s="11" t="s">
        <v>74</v>
      </c>
      <c r="J68" s="58">
        <f t="shared" ca="1" si="43"/>
        <v>-165114114.21043679</v>
      </c>
      <c r="K68" s="47">
        <f>-K97</f>
        <v>0</v>
      </c>
      <c r="L68" s="47">
        <f t="shared" ref="L68:AT68" ca="1" si="47">-L97</f>
        <v>-12449839.071022227</v>
      </c>
      <c r="M68" s="47">
        <f t="shared" ca="1" si="47"/>
        <v>-12115734.33045242</v>
      </c>
      <c r="N68" s="47">
        <f t="shared" ca="1" si="47"/>
        <v>-11921218.611685468</v>
      </c>
      <c r="O68" s="47">
        <f t="shared" ca="1" si="47"/>
        <v>-11677439.160943979</v>
      </c>
      <c r="P68" s="47">
        <f t="shared" ca="1" si="47"/>
        <v>-11421122.002984345</v>
      </c>
      <c r="Q68" s="47">
        <f t="shared" ca="1" si="47"/>
        <v>-11121144.165059837</v>
      </c>
      <c r="R68" s="47">
        <f t="shared" ca="1" si="47"/>
        <v>-10761979.918821091</v>
      </c>
      <c r="S68" s="47">
        <f t="shared" ca="1" si="47"/>
        <v>-10355296.941775499</v>
      </c>
      <c r="T68" s="47">
        <f t="shared" ca="1" si="47"/>
        <v>-9911312.9040073883</v>
      </c>
      <c r="U68" s="47">
        <f t="shared" ca="1" si="47"/>
        <v>-9422855.725089822</v>
      </c>
      <c r="V68" s="47">
        <f t="shared" ca="1" si="47"/>
        <v>-8879563.8997790348</v>
      </c>
      <c r="W68" s="47">
        <f t="shared" ca="1" si="47"/>
        <v>-8272535.1057855785</v>
      </c>
      <c r="X68" s="47">
        <f t="shared" ca="1" si="47"/>
        <v>-7600990.6115357289</v>
      </c>
      <c r="Y68" s="47">
        <f t="shared" ca="1" si="47"/>
        <v>-6864581.0621836092</v>
      </c>
      <c r="Z68" s="47">
        <f t="shared" ca="1" si="47"/>
        <v>-6065949.7504140278</v>
      </c>
      <c r="AA68" s="47">
        <f t="shared" ca="1" si="47"/>
        <v>-5207081.5040685311</v>
      </c>
      <c r="AB68" s="47">
        <f t="shared" ca="1" si="47"/>
        <v>-4292602.8912509819</v>
      </c>
      <c r="AC68" s="47">
        <f t="shared" ca="1" si="47"/>
        <v>-3317469.1753371563</v>
      </c>
      <c r="AD68" s="47">
        <f t="shared" ca="1" si="47"/>
        <v>-2279850.4463766092</v>
      </c>
      <c r="AE68" s="47">
        <f t="shared" ca="1" si="47"/>
        <v>-1175546.9318634442</v>
      </c>
      <c r="AF68" s="47">
        <f t="shared" ca="1" si="47"/>
        <v>0</v>
      </c>
      <c r="AG68" s="47">
        <f t="shared" ca="1" si="47"/>
        <v>0</v>
      </c>
      <c r="AH68" s="47">
        <f t="shared" ca="1" si="47"/>
        <v>0</v>
      </c>
      <c r="AI68" s="47">
        <f t="shared" ca="1" si="47"/>
        <v>0</v>
      </c>
      <c r="AJ68" s="47">
        <f t="shared" ca="1" si="47"/>
        <v>0</v>
      </c>
      <c r="AK68" s="47">
        <f t="shared" ca="1" si="47"/>
        <v>0</v>
      </c>
      <c r="AL68" s="47">
        <f t="shared" ca="1" si="47"/>
        <v>0</v>
      </c>
      <c r="AM68" s="47">
        <f t="shared" ca="1" si="47"/>
        <v>0</v>
      </c>
      <c r="AN68" s="47">
        <f t="shared" ca="1" si="47"/>
        <v>0</v>
      </c>
      <c r="AO68" s="47">
        <f t="shared" ca="1" si="47"/>
        <v>0</v>
      </c>
      <c r="AP68" s="47">
        <f t="shared" ca="1" si="47"/>
        <v>0</v>
      </c>
      <c r="AQ68" s="47">
        <f t="shared" ca="1" si="47"/>
        <v>0</v>
      </c>
      <c r="AR68" s="47">
        <f t="shared" ca="1" si="47"/>
        <v>0</v>
      </c>
      <c r="AS68" s="47">
        <f t="shared" ca="1" si="47"/>
        <v>0</v>
      </c>
      <c r="AT68" s="47">
        <f t="shared" ca="1" si="47"/>
        <v>0</v>
      </c>
    </row>
    <row r="69" spans="4:46" outlineLevel="1" x14ac:dyDescent="0.2">
      <c r="D69" t="s">
        <v>101</v>
      </c>
      <c r="E69" s="11" t="s">
        <v>74</v>
      </c>
      <c r="J69" s="58">
        <f t="shared" ca="1" si="43"/>
        <v>412679772.33056581</v>
      </c>
      <c r="K69" s="47">
        <f>SUM(K67:K68)</f>
        <v>0</v>
      </c>
      <c r="L69" s="47">
        <f t="shared" ref="L69:AT69" ca="1" si="48">SUM(L67:L68)</f>
        <v>-5961321.6941472292</v>
      </c>
      <c r="M69" s="47">
        <f t="shared" ca="1" si="48"/>
        <v>-5174856.3350894377</v>
      </c>
      <c r="N69" s="47">
        <f t="shared" ca="1" si="48"/>
        <v>-4517944.1812741514</v>
      </c>
      <c r="O69" s="47">
        <f t="shared" ca="1" si="48"/>
        <v>-3801510.087445898</v>
      </c>
      <c r="P69" s="47">
        <f t="shared" ca="1" si="48"/>
        <v>-3062052.7638258263</v>
      </c>
      <c r="Q69" s="47">
        <f t="shared" ca="1" si="48"/>
        <v>-2268216.8911942821</v>
      </c>
      <c r="R69" s="47">
        <f t="shared" ca="1" si="48"/>
        <v>-1404239.2515047844</v>
      </c>
      <c r="S69" s="47">
        <f t="shared" ca="1" si="48"/>
        <v>-481544.77559761144</v>
      </c>
      <c r="T69" s="47">
        <f t="shared" ca="1" si="48"/>
        <v>489896.9863392245</v>
      </c>
      <c r="U69" s="47">
        <f t="shared" ca="1" si="48"/>
        <v>1517511.726686433</v>
      </c>
      <c r="V69" s="47">
        <f t="shared" ca="1" si="48"/>
        <v>2611920.1761528794</v>
      </c>
      <c r="W69" s="47">
        <f t="shared" ca="1" si="48"/>
        <v>3782289.6201421246</v>
      </c>
      <c r="X69" s="47">
        <f t="shared" ca="1" si="48"/>
        <v>5029669.6178715331</v>
      </c>
      <c r="Y69" s="47">
        <f t="shared" ca="1" si="48"/>
        <v>6354686.3460442703</v>
      </c>
      <c r="Z69" s="47">
        <f t="shared" ca="1" si="48"/>
        <v>7754979.4605959328</v>
      </c>
      <c r="AA69" s="47">
        <f t="shared" ca="1" si="48"/>
        <v>9228853.3445466496</v>
      </c>
      <c r="AB69" s="47">
        <f t="shared" ca="1" si="48"/>
        <v>10771977.041366976</v>
      </c>
      <c r="AC69" s="47">
        <f t="shared" ca="1" si="48"/>
        <v>12389697.441499287</v>
      </c>
      <c r="AD69" s="47">
        <f t="shared" ca="1" si="48"/>
        <v>14084153.295613727</v>
      </c>
      <c r="AE69" s="47">
        <f t="shared" ca="1" si="48"/>
        <v>15859860.051691363</v>
      </c>
      <c r="AF69" s="47">
        <f t="shared" ca="1" si="48"/>
        <v>31596699.00288102</v>
      </c>
      <c r="AG69" s="47">
        <f t="shared" ca="1" si="48"/>
        <v>32298209.601655196</v>
      </c>
      <c r="AH69" s="47">
        <f t="shared" ca="1" si="48"/>
        <v>33015275.879770212</v>
      </c>
      <c r="AI69" s="47">
        <f t="shared" ca="1" si="48"/>
        <v>33748242.396684885</v>
      </c>
      <c r="AJ69" s="47">
        <f t="shared" ca="1" si="48"/>
        <v>34497461.336347908</v>
      </c>
      <c r="AK69" s="47">
        <f t="shared" ca="1" si="48"/>
        <v>35263292.67576538</v>
      </c>
      <c r="AL69" s="47">
        <f t="shared" ca="1" si="48"/>
        <v>36046104.357291922</v>
      </c>
      <c r="AM69" s="47">
        <f t="shared" ca="1" si="48"/>
        <v>36846272.464728147</v>
      </c>
      <c r="AN69" s="47">
        <f t="shared" ca="1" si="48"/>
        <v>37664181.403307952</v>
      </c>
      <c r="AO69" s="47">
        <f t="shared" ca="1" si="48"/>
        <v>38500224.083661944</v>
      </c>
      <c r="AP69" s="47">
        <f t="shared" ca="1" si="48"/>
        <v>0</v>
      </c>
      <c r="AQ69" s="47">
        <f t="shared" ca="1" si="48"/>
        <v>0</v>
      </c>
      <c r="AR69" s="47">
        <f t="shared" ca="1" si="48"/>
        <v>0</v>
      </c>
      <c r="AS69" s="47">
        <f t="shared" ca="1" si="48"/>
        <v>0</v>
      </c>
      <c r="AT69" s="47">
        <f t="shared" ca="1" si="48"/>
        <v>0</v>
      </c>
    </row>
    <row r="70" spans="4:46" outlineLevel="1" x14ac:dyDescent="0.2">
      <c r="D70" s="56" t="s">
        <v>102</v>
      </c>
      <c r="E70" s="55" t="s">
        <v>74</v>
      </c>
      <c r="F70" s="56"/>
      <c r="G70" s="35">
        <f>Inputs_TI!F43</f>
        <v>0.25</v>
      </c>
      <c r="H70" s="56"/>
      <c r="I70" s="56"/>
      <c r="J70" s="58">
        <f t="shared" ca="1" si="43"/>
        <v>103169943.08264145</v>
      </c>
      <c r="K70" s="59">
        <f>K69*$G$70</f>
        <v>0</v>
      </c>
      <c r="L70" s="59">
        <f t="shared" ref="L70:AT70" ca="1" si="49">L69*$G$70</f>
        <v>-1490330.4235368073</v>
      </c>
      <c r="M70" s="59">
        <f t="shared" ca="1" si="49"/>
        <v>-1293714.0837723594</v>
      </c>
      <c r="N70" s="59">
        <f t="shared" ca="1" si="49"/>
        <v>-1129486.0453185379</v>
      </c>
      <c r="O70" s="59">
        <f t="shared" ca="1" si="49"/>
        <v>-950377.5218614745</v>
      </c>
      <c r="P70" s="59">
        <f t="shared" ca="1" si="49"/>
        <v>-765513.19095645659</v>
      </c>
      <c r="Q70" s="59">
        <f t="shared" ca="1" si="49"/>
        <v>-567054.22279857052</v>
      </c>
      <c r="R70" s="59">
        <f t="shared" ca="1" si="49"/>
        <v>-351059.81287619611</v>
      </c>
      <c r="S70" s="59">
        <f t="shared" ca="1" si="49"/>
        <v>-120386.19389940286</v>
      </c>
      <c r="T70" s="59">
        <f t="shared" ca="1" si="49"/>
        <v>122474.24658480613</v>
      </c>
      <c r="U70" s="59">
        <f t="shared" ca="1" si="49"/>
        <v>379377.93167160824</v>
      </c>
      <c r="V70" s="59">
        <f t="shared" ca="1" si="49"/>
        <v>652980.04403821984</v>
      </c>
      <c r="W70" s="59">
        <f t="shared" ca="1" si="49"/>
        <v>945572.40503553115</v>
      </c>
      <c r="X70" s="59">
        <f t="shared" ca="1" si="49"/>
        <v>1257417.4044678833</v>
      </c>
      <c r="Y70" s="59">
        <f t="shared" ca="1" si="49"/>
        <v>1588671.5865110676</v>
      </c>
      <c r="Z70" s="59">
        <f t="shared" ca="1" si="49"/>
        <v>1938744.8651489832</v>
      </c>
      <c r="AA70" s="59">
        <f t="shared" ca="1" si="49"/>
        <v>2307213.3361366624</v>
      </c>
      <c r="AB70" s="59">
        <f t="shared" ca="1" si="49"/>
        <v>2692994.2603417439</v>
      </c>
      <c r="AC70" s="59">
        <f t="shared" ca="1" si="49"/>
        <v>3097424.3603748218</v>
      </c>
      <c r="AD70" s="59">
        <f t="shared" ca="1" si="49"/>
        <v>3521038.3239034317</v>
      </c>
      <c r="AE70" s="59">
        <f t="shared" ca="1" si="49"/>
        <v>3964965.0129228407</v>
      </c>
      <c r="AF70" s="59">
        <f t="shared" ca="1" si="49"/>
        <v>7899174.7507202551</v>
      </c>
      <c r="AG70" s="59">
        <f t="shared" ca="1" si="49"/>
        <v>8074552.4004137991</v>
      </c>
      <c r="AH70" s="59">
        <f t="shared" ca="1" si="49"/>
        <v>8253818.969942553</v>
      </c>
      <c r="AI70" s="59">
        <f t="shared" ca="1" si="49"/>
        <v>8437060.5991712213</v>
      </c>
      <c r="AJ70" s="59">
        <f t="shared" ca="1" si="49"/>
        <v>8624365.3340869769</v>
      </c>
      <c r="AK70" s="59">
        <f t="shared" ca="1" si="49"/>
        <v>8815823.1689413451</v>
      </c>
      <c r="AL70" s="59">
        <f t="shared" ca="1" si="49"/>
        <v>9011526.0893229805</v>
      </c>
      <c r="AM70" s="59">
        <f t="shared" ca="1" si="49"/>
        <v>9211568.1161820367</v>
      </c>
      <c r="AN70" s="59">
        <f t="shared" ca="1" si="49"/>
        <v>9416045.350826988</v>
      </c>
      <c r="AO70" s="59">
        <f t="shared" ca="1" si="49"/>
        <v>9625056.0209154859</v>
      </c>
      <c r="AP70" s="59">
        <f t="shared" ca="1" si="49"/>
        <v>0</v>
      </c>
      <c r="AQ70" s="59">
        <f t="shared" ca="1" si="49"/>
        <v>0</v>
      </c>
      <c r="AR70" s="59">
        <f t="shared" ca="1" si="49"/>
        <v>0</v>
      </c>
      <c r="AS70" s="59">
        <f t="shared" ca="1" si="49"/>
        <v>0</v>
      </c>
      <c r="AT70" s="59">
        <f t="shared" ca="1" si="49"/>
        <v>0</v>
      </c>
    </row>
    <row r="71" spans="4:46" outlineLevel="1" x14ac:dyDescent="0.2"/>
    <row r="72" spans="4:46" outlineLevel="1" x14ac:dyDescent="0.2">
      <c r="D72" s="45" t="s">
        <v>103</v>
      </c>
      <c r="G72" s="32" t="s">
        <v>57</v>
      </c>
      <c r="H72" s="32" t="s">
        <v>58</v>
      </c>
    </row>
    <row r="73" spans="4:46" outlineLevel="1" x14ac:dyDescent="0.2">
      <c r="D73" t="s">
        <v>62</v>
      </c>
      <c r="E73" s="11" t="s">
        <v>74</v>
      </c>
      <c r="G73" s="31">
        <f>COD</f>
        <v>46023</v>
      </c>
      <c r="H73" s="31">
        <f>EOMONTH(Calculations!G73,Inputs_TI!F34*12-1)</f>
        <v>53327</v>
      </c>
      <c r="J73" s="63">
        <f t="shared" ref="J73:J75" si="50">SUM(K73:AT73)</f>
        <v>20</v>
      </c>
      <c r="K73" s="13">
        <f t="shared" ref="K73:AT73" si="51">IF(AND(K$5&gt;=$G73, K$6&lt;=$H73), 1,0)</f>
        <v>0</v>
      </c>
      <c r="L73" s="13">
        <f t="shared" si="51"/>
        <v>1</v>
      </c>
      <c r="M73" s="13">
        <f t="shared" si="51"/>
        <v>1</v>
      </c>
      <c r="N73" s="13">
        <f t="shared" si="51"/>
        <v>1</v>
      </c>
      <c r="O73" s="13">
        <f t="shared" si="51"/>
        <v>1</v>
      </c>
      <c r="P73" s="13">
        <f t="shared" si="51"/>
        <v>1</v>
      </c>
      <c r="Q73" s="13">
        <f t="shared" si="51"/>
        <v>1</v>
      </c>
      <c r="R73" s="13">
        <f t="shared" si="51"/>
        <v>1</v>
      </c>
      <c r="S73" s="13">
        <f t="shared" si="51"/>
        <v>1</v>
      </c>
      <c r="T73" s="13">
        <f t="shared" si="51"/>
        <v>1</v>
      </c>
      <c r="U73" s="13">
        <f t="shared" si="51"/>
        <v>1</v>
      </c>
      <c r="V73" s="13">
        <f t="shared" si="51"/>
        <v>1</v>
      </c>
      <c r="W73" s="13">
        <f t="shared" si="51"/>
        <v>1</v>
      </c>
      <c r="X73" s="13">
        <f t="shared" si="51"/>
        <v>1</v>
      </c>
      <c r="Y73" s="13">
        <f t="shared" si="51"/>
        <v>1</v>
      </c>
      <c r="Z73" s="13">
        <f t="shared" si="51"/>
        <v>1</v>
      </c>
      <c r="AA73" s="13">
        <f t="shared" si="51"/>
        <v>1</v>
      </c>
      <c r="AB73" s="13">
        <f t="shared" si="51"/>
        <v>1</v>
      </c>
      <c r="AC73" s="13">
        <f t="shared" si="51"/>
        <v>1</v>
      </c>
      <c r="AD73" s="13">
        <f t="shared" si="51"/>
        <v>1</v>
      </c>
      <c r="AE73" s="13">
        <f t="shared" si="51"/>
        <v>1</v>
      </c>
      <c r="AF73" s="13">
        <f t="shared" si="51"/>
        <v>0</v>
      </c>
      <c r="AG73" s="13">
        <f t="shared" si="51"/>
        <v>0</v>
      </c>
      <c r="AH73" s="13">
        <f t="shared" si="51"/>
        <v>0</v>
      </c>
      <c r="AI73" s="13">
        <f t="shared" si="51"/>
        <v>0</v>
      </c>
      <c r="AJ73" s="13">
        <f t="shared" si="51"/>
        <v>0</v>
      </c>
      <c r="AK73" s="13">
        <f t="shared" si="51"/>
        <v>0</v>
      </c>
      <c r="AL73" s="13">
        <f t="shared" si="51"/>
        <v>0</v>
      </c>
      <c r="AM73" s="13">
        <f t="shared" si="51"/>
        <v>0</v>
      </c>
      <c r="AN73" s="13">
        <f t="shared" si="51"/>
        <v>0</v>
      </c>
      <c r="AO73" s="13">
        <f t="shared" si="51"/>
        <v>0</v>
      </c>
      <c r="AP73" s="13">
        <f t="shared" si="51"/>
        <v>0</v>
      </c>
      <c r="AQ73" s="13">
        <f t="shared" si="51"/>
        <v>0</v>
      </c>
      <c r="AR73" s="13">
        <f t="shared" si="51"/>
        <v>0</v>
      </c>
      <c r="AS73" s="13">
        <f t="shared" si="51"/>
        <v>0</v>
      </c>
      <c r="AT73" s="13">
        <f t="shared" si="51"/>
        <v>0</v>
      </c>
    </row>
    <row r="74" spans="4:46" outlineLevel="1" x14ac:dyDescent="0.2">
      <c r="D74" t="str">
        <f>Inputs_TI!D35</f>
        <v>Target DSCR (P50)</v>
      </c>
      <c r="E74" s="11" t="s">
        <v>41</v>
      </c>
      <c r="G74" s="61">
        <f>Inputs_TI!F35</f>
        <v>1.3</v>
      </c>
      <c r="K74" s="62">
        <f>$G$74*K73</f>
        <v>0</v>
      </c>
      <c r="L74" s="62">
        <f t="shared" ref="L74:AT74" si="52">$G$74*L73</f>
        <v>1.3</v>
      </c>
      <c r="M74" s="62">
        <f t="shared" si="52"/>
        <v>1.3</v>
      </c>
      <c r="N74" s="62">
        <f t="shared" si="52"/>
        <v>1.3</v>
      </c>
      <c r="O74" s="62">
        <f t="shared" si="52"/>
        <v>1.3</v>
      </c>
      <c r="P74" s="62">
        <f t="shared" si="52"/>
        <v>1.3</v>
      </c>
      <c r="Q74" s="62">
        <f t="shared" si="52"/>
        <v>1.3</v>
      </c>
      <c r="R74" s="62">
        <f t="shared" si="52"/>
        <v>1.3</v>
      </c>
      <c r="S74" s="62">
        <f t="shared" si="52"/>
        <v>1.3</v>
      </c>
      <c r="T74" s="62">
        <f t="shared" si="52"/>
        <v>1.3</v>
      </c>
      <c r="U74" s="62">
        <f t="shared" si="52"/>
        <v>1.3</v>
      </c>
      <c r="V74" s="62">
        <f t="shared" si="52"/>
        <v>1.3</v>
      </c>
      <c r="W74" s="62">
        <f t="shared" si="52"/>
        <v>1.3</v>
      </c>
      <c r="X74" s="62">
        <f t="shared" si="52"/>
        <v>1.3</v>
      </c>
      <c r="Y74" s="62">
        <f t="shared" si="52"/>
        <v>1.3</v>
      </c>
      <c r="Z74" s="62">
        <f t="shared" si="52"/>
        <v>1.3</v>
      </c>
      <c r="AA74" s="62">
        <f t="shared" si="52"/>
        <v>1.3</v>
      </c>
      <c r="AB74" s="62">
        <f t="shared" si="52"/>
        <v>1.3</v>
      </c>
      <c r="AC74" s="62">
        <f t="shared" si="52"/>
        <v>1.3</v>
      </c>
      <c r="AD74" s="62">
        <f t="shared" si="52"/>
        <v>1.3</v>
      </c>
      <c r="AE74" s="62">
        <f t="shared" si="52"/>
        <v>1.3</v>
      </c>
      <c r="AF74" s="62">
        <f t="shared" si="52"/>
        <v>0</v>
      </c>
      <c r="AG74" s="62">
        <f t="shared" si="52"/>
        <v>0</v>
      </c>
      <c r="AH74" s="62">
        <f t="shared" si="52"/>
        <v>0</v>
      </c>
      <c r="AI74" s="62">
        <f t="shared" si="52"/>
        <v>0</v>
      </c>
      <c r="AJ74" s="62">
        <f t="shared" si="52"/>
        <v>0</v>
      </c>
      <c r="AK74" s="62">
        <f t="shared" si="52"/>
        <v>0</v>
      </c>
      <c r="AL74" s="62">
        <f t="shared" si="52"/>
        <v>0</v>
      </c>
      <c r="AM74" s="62">
        <f t="shared" si="52"/>
        <v>0</v>
      </c>
      <c r="AN74" s="62">
        <f t="shared" si="52"/>
        <v>0</v>
      </c>
      <c r="AO74" s="62">
        <f t="shared" si="52"/>
        <v>0</v>
      </c>
      <c r="AP74" s="62">
        <f t="shared" si="52"/>
        <v>0</v>
      </c>
      <c r="AQ74" s="62">
        <f t="shared" si="52"/>
        <v>0</v>
      </c>
      <c r="AR74" s="62">
        <f t="shared" si="52"/>
        <v>0</v>
      </c>
      <c r="AS74" s="62">
        <f t="shared" si="52"/>
        <v>0</v>
      </c>
      <c r="AT74" s="62">
        <f t="shared" si="52"/>
        <v>0</v>
      </c>
    </row>
    <row r="75" spans="4:46" outlineLevel="1" x14ac:dyDescent="0.2">
      <c r="D75" t="s">
        <v>104</v>
      </c>
      <c r="E75" s="11" t="s">
        <v>74</v>
      </c>
      <c r="J75" s="63">
        <f t="shared" ca="1" si="50"/>
        <v>376936131.58214629</v>
      </c>
      <c r="K75" s="7">
        <f t="shared" ref="K75:AT75" si="53">IFERROR(K62/K74,0)</f>
        <v>0</v>
      </c>
      <c r="L75" s="7">
        <f t="shared" ca="1" si="53"/>
        <v>16810652.154162928</v>
      </c>
      <c r="M75" s="7">
        <f t="shared" ca="1" si="53"/>
        <v>17007378.522411801</v>
      </c>
      <c r="N75" s="7">
        <f t="shared" ca="1" si="53"/>
        <v>17236738.827484503</v>
      </c>
      <c r="O75" s="7">
        <f t="shared" ca="1" si="53"/>
        <v>17462543.534891967</v>
      </c>
      <c r="P75" s="7">
        <f t="shared" ca="1" si="53"/>
        <v>17691986.484703828</v>
      </c>
      <c r="Q75" s="7">
        <f t="shared" ca="1" si="53"/>
        <v>17919216.535895482</v>
      </c>
      <c r="R75" s="7">
        <f t="shared" ca="1" si="53"/>
        <v>18141384.984763462</v>
      </c>
      <c r="S75" s="7">
        <f t="shared" ca="1" si="53"/>
        <v>18360875.661597915</v>
      </c>
      <c r="T75" s="7">
        <f t="shared" ca="1" si="53"/>
        <v>18579796.649047542</v>
      </c>
      <c r="U75" s="7">
        <f t="shared" ca="1" si="53"/>
        <v>18796915.015465111</v>
      </c>
      <c r="V75" s="7">
        <f t="shared" ca="1" si="53"/>
        <v>19010387.716841303</v>
      </c>
      <c r="W75" s="7">
        <f t="shared" ca="1" si="53"/>
        <v>19218655.631455515</v>
      </c>
      <c r="X75" s="7">
        <f t="shared" ca="1" si="53"/>
        <v>19421725.249953367</v>
      </c>
      <c r="Y75" s="7">
        <f t="shared" ca="1" si="53"/>
        <v>19619689.093628317</v>
      </c>
      <c r="Z75" s="7">
        <f t="shared" ca="1" si="53"/>
        <v>19813218.727585368</v>
      </c>
      <c r="AA75" s="7">
        <f t="shared" ca="1" si="53"/>
        <v>20002862.701906554</v>
      </c>
      <c r="AB75" s="7">
        <f t="shared" ca="1" si="53"/>
        <v>20189681.286366317</v>
      </c>
      <c r="AC75" s="7">
        <f t="shared" ca="1" si="53"/>
        <v>20372878.658816632</v>
      </c>
      <c r="AD75" s="7">
        <f t="shared" ca="1" si="53"/>
        <v>20552281.090836082</v>
      </c>
      <c r="AE75" s="7">
        <f t="shared" ca="1" si="53"/>
        <v>20727263.054332279</v>
      </c>
      <c r="AF75" s="7">
        <f t="shared" ca="1" si="53"/>
        <v>0</v>
      </c>
      <c r="AG75" s="7">
        <f t="shared" ca="1" si="53"/>
        <v>0</v>
      </c>
      <c r="AH75" s="7">
        <f t="shared" ca="1" si="53"/>
        <v>0</v>
      </c>
      <c r="AI75" s="7">
        <f t="shared" ca="1" si="53"/>
        <v>0</v>
      </c>
      <c r="AJ75" s="7">
        <f t="shared" ca="1" si="53"/>
        <v>0</v>
      </c>
      <c r="AK75" s="7">
        <f t="shared" ca="1" si="53"/>
        <v>0</v>
      </c>
      <c r="AL75" s="7">
        <f t="shared" ca="1" si="53"/>
        <v>0</v>
      </c>
      <c r="AM75" s="7">
        <f t="shared" ca="1" si="53"/>
        <v>0</v>
      </c>
      <c r="AN75" s="7">
        <f t="shared" ca="1" si="53"/>
        <v>0</v>
      </c>
      <c r="AO75" s="7">
        <f t="shared" ca="1" si="53"/>
        <v>0</v>
      </c>
      <c r="AP75" s="7">
        <f t="shared" ca="1" si="53"/>
        <v>0</v>
      </c>
      <c r="AQ75" s="7">
        <f t="shared" ca="1" si="53"/>
        <v>0</v>
      </c>
      <c r="AR75" s="7">
        <f t="shared" ca="1" si="53"/>
        <v>0</v>
      </c>
      <c r="AS75" s="7">
        <f t="shared" ca="1" si="53"/>
        <v>0</v>
      </c>
      <c r="AT75" s="7">
        <f t="shared" ca="1" si="53"/>
        <v>0</v>
      </c>
    </row>
    <row r="76" spans="4:46" outlineLevel="1" x14ac:dyDescent="0.2"/>
    <row r="77" spans="4:46" outlineLevel="1" x14ac:dyDescent="0.2">
      <c r="D77" s="66" t="s">
        <v>105</v>
      </c>
    </row>
    <row r="78" spans="4:46" outlineLevel="1" x14ac:dyDescent="0.2">
      <c r="D78" t="s">
        <v>106</v>
      </c>
      <c r="E78" s="11" t="s">
        <v>14</v>
      </c>
      <c r="K78" s="39">
        <f>IFERROR(LOOKUP(K4,'SOFR Forward Curve'!$E$4:$AO$4, 'SOFR Forward Curve'!$E$5:$AO$5),0)</f>
        <v>0</v>
      </c>
      <c r="L78" s="39">
        <f>IFERROR(LOOKUP(L4,'SOFR Forward Curve'!$E$4:$AO$4, 'SOFR Forward Curve'!$E$5:$AO$5),0)</f>
        <v>3.5099999999999999E-2</v>
      </c>
      <c r="M78" s="39">
        <f>IFERROR(LOOKUP(M4,'SOFR Forward Curve'!$E$4:$AO$4, 'SOFR Forward Curve'!$E$5:$AO$5),0)</f>
        <v>3.3599999999999998E-2</v>
      </c>
      <c r="N78" s="39">
        <f>IFERROR(LOOKUP(N4,'SOFR Forward Curve'!$E$4:$AO$4, 'SOFR Forward Curve'!$E$5:$AO$5),0)</f>
        <v>3.5400000000000001E-2</v>
      </c>
      <c r="O78" s="39">
        <f>IFERROR(LOOKUP(O4,'SOFR Forward Curve'!$E$4:$AO$4, 'SOFR Forward Curve'!$E$5:$AO$5),0)</f>
        <v>3.6799999999999999E-2</v>
      </c>
      <c r="P78" s="39">
        <f>IFERROR(LOOKUP(P4,'SOFR Forward Curve'!$E$4:$AO$4, 'SOFR Forward Curve'!$E$5:$AO$5),0)</f>
        <v>3.8600000000000002E-2</v>
      </c>
      <c r="Q78" s="39">
        <f>IFERROR(LOOKUP(Q4,'SOFR Forward Curve'!$E$4:$AO$4, 'SOFR Forward Curve'!$E$5:$AO$5),0)</f>
        <v>4.02E-2</v>
      </c>
      <c r="R78" s="39">
        <f>IFERROR(LOOKUP(R4,'SOFR Forward Curve'!$E$4:$AO$4, 'SOFR Forward Curve'!$E$5:$AO$5),0)</f>
        <v>4.1300000000000003E-2</v>
      </c>
      <c r="S78" s="39">
        <f>IFERROR(LOOKUP(S4,'SOFR Forward Curve'!$E$4:$AO$4, 'SOFR Forward Curve'!$E$5:$AO$5),0)</f>
        <v>4.2200000000000001E-2</v>
      </c>
      <c r="T78" s="39">
        <f>IFERROR(LOOKUP(T4,'SOFR Forward Curve'!$E$4:$AO$4, 'SOFR Forward Curve'!$E$5:$AO$5),0)</f>
        <v>4.3200000000000002E-2</v>
      </c>
      <c r="U78" s="39">
        <f>IFERROR(LOOKUP(U4,'SOFR Forward Curve'!$E$4:$AO$4, 'SOFR Forward Curve'!$E$5:$AO$5),0)</f>
        <v>4.4200000000000003E-2</v>
      </c>
      <c r="V78" s="39">
        <f>IFERROR(LOOKUP(V4,'SOFR Forward Curve'!$E$4:$AO$4, 'SOFR Forward Curve'!$E$5:$AO$5),0)</f>
        <v>4.4999999999999998E-2</v>
      </c>
      <c r="W78" s="39">
        <f>IFERROR(LOOKUP(W4,'SOFR Forward Curve'!$E$4:$AO$4, 'SOFR Forward Curve'!$E$5:$AO$5),0)</f>
        <v>4.5400000000000003E-2</v>
      </c>
      <c r="X78" s="39">
        <f>IFERROR(LOOKUP(X4,'SOFR Forward Curve'!$E$4:$AO$4, 'SOFR Forward Curve'!$E$5:$AO$5),0)</f>
        <v>4.5400000000000003E-2</v>
      </c>
      <c r="Y78" s="39">
        <f>IFERROR(LOOKUP(Y4,'SOFR Forward Curve'!$E$4:$AO$4, 'SOFR Forward Curve'!$E$5:$AO$5),0)</f>
        <v>4.4999999999999998E-2</v>
      </c>
      <c r="Z78" s="39">
        <f>IFERROR(LOOKUP(Z4,'SOFR Forward Curve'!$E$4:$AO$4, 'SOFR Forward Curve'!$E$5:$AO$5),0)</f>
        <v>4.4299999999999999E-2</v>
      </c>
      <c r="AA78" s="39">
        <f>IFERROR(LOOKUP(AA4,'SOFR Forward Curve'!$E$4:$AO$4, 'SOFR Forward Curve'!$E$5:$AO$5),0)</f>
        <v>4.3400000000000001E-2</v>
      </c>
      <c r="AB78" s="39">
        <f>IFERROR(LOOKUP(AB4,'SOFR Forward Curve'!$E$4:$AO$4, 'SOFR Forward Curve'!$E$5:$AO$5),0)</f>
        <v>4.2599999999999999E-2</v>
      </c>
      <c r="AC78" s="39">
        <f>IFERROR(LOOKUP(AC4,'SOFR Forward Curve'!$E$4:$AO$4, 'SOFR Forward Curve'!$E$5:$AO$5),0)</f>
        <v>4.1799999999999997E-2</v>
      </c>
      <c r="AD78" s="39">
        <f>IFERROR(LOOKUP(AD4,'SOFR Forward Curve'!$E$4:$AO$4, 'SOFR Forward Curve'!$E$5:$AO$5),0)</f>
        <v>4.1099999999999998E-2</v>
      </c>
      <c r="AE78" s="39">
        <f>IFERROR(LOOKUP(AE4,'SOFR Forward Curve'!$E$4:$AO$4, 'SOFR Forward Curve'!$E$5:$AO$5),0)</f>
        <v>4.0500000000000001E-2</v>
      </c>
      <c r="AF78" s="39">
        <f>IFERROR(LOOKUP(AF4,'SOFR Forward Curve'!$E$4:$AO$4, 'SOFR Forward Curve'!$E$5:$AO$5),0)</f>
        <v>3.9899999999999998E-2</v>
      </c>
      <c r="AG78" s="39">
        <f>IFERROR(LOOKUP(AG4,'SOFR Forward Curve'!$E$4:$AO$4, 'SOFR Forward Curve'!$E$5:$AO$5),0)</f>
        <v>3.9300000000000002E-2</v>
      </c>
      <c r="AH78" s="39">
        <f>IFERROR(LOOKUP(AH4,'SOFR Forward Curve'!$E$4:$AO$4, 'SOFR Forward Curve'!$E$5:$AO$5),0)</f>
        <v>3.8800000000000001E-2</v>
      </c>
      <c r="AI78" s="39">
        <f>IFERROR(LOOKUP(AI4,'SOFR Forward Curve'!$E$4:$AO$4, 'SOFR Forward Curve'!$E$5:$AO$5),0)</f>
        <v>3.8300000000000001E-2</v>
      </c>
      <c r="AJ78" s="39">
        <f>IFERROR(LOOKUP(AJ4,'SOFR Forward Curve'!$E$4:$AO$4, 'SOFR Forward Curve'!$E$5:$AO$5),0)</f>
        <v>3.7900000000000003E-2</v>
      </c>
      <c r="AK78" s="39">
        <f>IFERROR(LOOKUP(AK4,'SOFR Forward Curve'!$E$4:$AO$4, 'SOFR Forward Curve'!$E$5:$AO$5),0)</f>
        <v>3.7499999999999999E-2</v>
      </c>
      <c r="AL78" s="39">
        <f>IFERROR(LOOKUP(AL4,'SOFR Forward Curve'!$E$4:$AO$4, 'SOFR Forward Curve'!$E$5:$AO$5),0)</f>
        <v>3.7100000000000001E-2</v>
      </c>
      <c r="AM78" s="39">
        <f>IFERROR(LOOKUP(AM4,'SOFR Forward Curve'!$E$4:$AO$4, 'SOFR Forward Curve'!$E$5:$AO$5),0)</f>
        <v>3.6799999999999999E-2</v>
      </c>
      <c r="AN78" s="39">
        <f>IFERROR(LOOKUP(AN4,'SOFR Forward Curve'!$E$4:$AO$4, 'SOFR Forward Curve'!$E$5:$AO$5),0)</f>
        <v>3.6499999999999998E-2</v>
      </c>
      <c r="AO78" s="39">
        <f>IFERROR(LOOKUP(AO4,'SOFR Forward Curve'!$E$4:$AO$4, 'SOFR Forward Curve'!$E$5:$AO$5),0)</f>
        <v>3.5900000000000001E-2</v>
      </c>
      <c r="AP78" s="39">
        <f>IFERROR(LOOKUP(AP4,'SOFR Forward Curve'!$E$4:$AO$4, 'SOFR Forward Curve'!$E$5:$AO$5),0)</f>
        <v>3.5700000000000003E-2</v>
      </c>
      <c r="AQ78" s="39">
        <f>IFERROR(LOOKUP(AQ4,'SOFR Forward Curve'!$E$4:$AO$4, 'SOFR Forward Curve'!$E$5:$AO$5),0)</f>
        <v>3.5499999999999997E-2</v>
      </c>
      <c r="AR78" s="39">
        <f>IFERROR(LOOKUP(AR4,'SOFR Forward Curve'!$E$4:$AO$4, 'SOFR Forward Curve'!$E$5:$AO$5),0)</f>
        <v>3.5299999999999998E-2</v>
      </c>
      <c r="AS78" s="39">
        <f>IFERROR(LOOKUP(AS4,'SOFR Forward Curve'!$E$4:$AO$4, 'SOFR Forward Curve'!$E$5:$AO$5),0)</f>
        <v>3.5099999999999999E-2</v>
      </c>
      <c r="AT78" s="39">
        <f>IFERROR(LOOKUP(AT4,'SOFR Forward Curve'!$E$4:$AO$4, 'SOFR Forward Curve'!$E$5:$AO$5),0)</f>
        <v>3.5000000000000003E-2</v>
      </c>
    </row>
    <row r="79" spans="4:46" outlineLevel="1" x14ac:dyDescent="0.2">
      <c r="D79" t="s">
        <v>39</v>
      </c>
      <c r="E79" s="11" t="s">
        <v>14</v>
      </c>
      <c r="G79" s="35">
        <f>Inputs_TI!F40</f>
        <v>0.04</v>
      </c>
      <c r="K79" s="39">
        <f>$G$79*K73</f>
        <v>0</v>
      </c>
      <c r="L79" s="39">
        <f t="shared" ref="L79:AT79" si="54">$G$79*L73</f>
        <v>0.04</v>
      </c>
      <c r="M79" s="39">
        <f t="shared" si="54"/>
        <v>0.04</v>
      </c>
      <c r="N79" s="39">
        <f t="shared" si="54"/>
        <v>0.04</v>
      </c>
      <c r="O79" s="39">
        <f t="shared" si="54"/>
        <v>0.04</v>
      </c>
      <c r="P79" s="39">
        <f t="shared" si="54"/>
        <v>0.04</v>
      </c>
      <c r="Q79" s="39">
        <f t="shared" si="54"/>
        <v>0.04</v>
      </c>
      <c r="R79" s="39">
        <f t="shared" si="54"/>
        <v>0.04</v>
      </c>
      <c r="S79" s="39">
        <f t="shared" si="54"/>
        <v>0.04</v>
      </c>
      <c r="T79" s="39">
        <f t="shared" si="54"/>
        <v>0.04</v>
      </c>
      <c r="U79" s="39">
        <f t="shared" si="54"/>
        <v>0.04</v>
      </c>
      <c r="V79" s="39">
        <f t="shared" si="54"/>
        <v>0.04</v>
      </c>
      <c r="W79" s="39">
        <f t="shared" si="54"/>
        <v>0.04</v>
      </c>
      <c r="X79" s="39">
        <f t="shared" si="54"/>
        <v>0.04</v>
      </c>
      <c r="Y79" s="39">
        <f t="shared" si="54"/>
        <v>0.04</v>
      </c>
      <c r="Z79" s="39">
        <f t="shared" si="54"/>
        <v>0.04</v>
      </c>
      <c r="AA79" s="39">
        <f t="shared" si="54"/>
        <v>0.04</v>
      </c>
      <c r="AB79" s="39">
        <f t="shared" si="54"/>
        <v>0.04</v>
      </c>
      <c r="AC79" s="39">
        <f t="shared" si="54"/>
        <v>0.04</v>
      </c>
      <c r="AD79" s="39">
        <f t="shared" si="54"/>
        <v>0.04</v>
      </c>
      <c r="AE79" s="39">
        <f t="shared" si="54"/>
        <v>0.04</v>
      </c>
      <c r="AF79" s="39">
        <f t="shared" si="54"/>
        <v>0</v>
      </c>
      <c r="AG79" s="39">
        <f t="shared" si="54"/>
        <v>0</v>
      </c>
      <c r="AH79" s="39">
        <f t="shared" si="54"/>
        <v>0</v>
      </c>
      <c r="AI79" s="39">
        <f t="shared" si="54"/>
        <v>0</v>
      </c>
      <c r="AJ79" s="39">
        <f t="shared" si="54"/>
        <v>0</v>
      </c>
      <c r="AK79" s="39">
        <f t="shared" si="54"/>
        <v>0</v>
      </c>
      <c r="AL79" s="39">
        <f t="shared" si="54"/>
        <v>0</v>
      </c>
      <c r="AM79" s="39">
        <f t="shared" si="54"/>
        <v>0</v>
      </c>
      <c r="AN79" s="39">
        <f t="shared" si="54"/>
        <v>0</v>
      </c>
      <c r="AO79" s="39">
        <f t="shared" si="54"/>
        <v>0</v>
      </c>
      <c r="AP79" s="39">
        <f t="shared" si="54"/>
        <v>0</v>
      </c>
      <c r="AQ79" s="39">
        <f t="shared" si="54"/>
        <v>0</v>
      </c>
      <c r="AR79" s="39">
        <f t="shared" si="54"/>
        <v>0</v>
      </c>
      <c r="AS79" s="39">
        <f t="shared" si="54"/>
        <v>0</v>
      </c>
      <c r="AT79" s="39">
        <f t="shared" si="54"/>
        <v>0</v>
      </c>
    </row>
    <row r="80" spans="4:46" outlineLevel="1" x14ac:dyDescent="0.2">
      <c r="D80" t="s">
        <v>107</v>
      </c>
      <c r="E80" s="11" t="s">
        <v>14</v>
      </c>
      <c r="G80" s="35">
        <f>Inputs_TI!F39</f>
        <v>0.75</v>
      </c>
      <c r="H80" s="3" t="s">
        <v>38</v>
      </c>
      <c r="K80" s="34">
        <f>$G$80*K79+(1-$G$80)*K78</f>
        <v>0</v>
      </c>
      <c r="L80" s="34">
        <f t="shared" ref="L80:AT80" si="55">$G$80*L79+(1-$G$80)*L78</f>
        <v>3.8774999999999997E-2</v>
      </c>
      <c r="M80" s="34">
        <f t="shared" si="55"/>
        <v>3.8399999999999997E-2</v>
      </c>
      <c r="N80" s="34">
        <f t="shared" si="55"/>
        <v>3.8849999999999996E-2</v>
      </c>
      <c r="O80" s="34">
        <f t="shared" si="55"/>
        <v>3.9199999999999999E-2</v>
      </c>
      <c r="P80" s="34">
        <f t="shared" si="55"/>
        <v>3.9649999999999998E-2</v>
      </c>
      <c r="Q80" s="34">
        <f t="shared" si="55"/>
        <v>4.0050000000000002E-2</v>
      </c>
      <c r="R80" s="34">
        <f t="shared" si="55"/>
        <v>4.0325E-2</v>
      </c>
      <c r="S80" s="34">
        <f t="shared" si="55"/>
        <v>4.0550000000000003E-2</v>
      </c>
      <c r="T80" s="34">
        <f t="shared" si="55"/>
        <v>4.0800000000000003E-2</v>
      </c>
      <c r="U80" s="34">
        <f t="shared" si="55"/>
        <v>4.1050000000000003E-2</v>
      </c>
      <c r="V80" s="34">
        <f t="shared" si="55"/>
        <v>4.1249999999999995E-2</v>
      </c>
      <c r="W80" s="34">
        <f t="shared" si="55"/>
        <v>4.1349999999999998E-2</v>
      </c>
      <c r="X80" s="34">
        <f t="shared" si="55"/>
        <v>4.1349999999999998E-2</v>
      </c>
      <c r="Y80" s="34">
        <f t="shared" si="55"/>
        <v>4.1249999999999995E-2</v>
      </c>
      <c r="Z80" s="34">
        <f t="shared" si="55"/>
        <v>4.1075E-2</v>
      </c>
      <c r="AA80" s="34">
        <f t="shared" si="55"/>
        <v>4.0849999999999997E-2</v>
      </c>
      <c r="AB80" s="34">
        <f t="shared" si="55"/>
        <v>4.0649999999999999E-2</v>
      </c>
      <c r="AC80" s="34">
        <f t="shared" si="55"/>
        <v>4.045E-2</v>
      </c>
      <c r="AD80" s="34">
        <f t="shared" si="55"/>
        <v>4.0274999999999998E-2</v>
      </c>
      <c r="AE80" s="34">
        <f t="shared" si="55"/>
        <v>4.0125000000000001E-2</v>
      </c>
      <c r="AF80" s="34">
        <f t="shared" si="55"/>
        <v>9.9749999999999995E-3</v>
      </c>
      <c r="AG80" s="34">
        <f t="shared" si="55"/>
        <v>9.8250000000000004E-3</v>
      </c>
      <c r="AH80" s="34">
        <f t="shared" si="55"/>
        <v>9.7000000000000003E-3</v>
      </c>
      <c r="AI80" s="34">
        <f t="shared" si="55"/>
        <v>9.5750000000000002E-3</v>
      </c>
      <c r="AJ80" s="34">
        <f t="shared" si="55"/>
        <v>9.4750000000000008E-3</v>
      </c>
      <c r="AK80" s="34">
        <f t="shared" si="55"/>
        <v>9.3749999999999997E-3</v>
      </c>
      <c r="AL80" s="34">
        <f t="shared" si="55"/>
        <v>9.2750000000000003E-3</v>
      </c>
      <c r="AM80" s="34">
        <f t="shared" si="55"/>
        <v>9.1999999999999998E-3</v>
      </c>
      <c r="AN80" s="34">
        <f t="shared" si="55"/>
        <v>9.1249999999999994E-3</v>
      </c>
      <c r="AO80" s="34">
        <f t="shared" si="55"/>
        <v>8.9750000000000003E-3</v>
      </c>
      <c r="AP80" s="34">
        <f t="shared" si="55"/>
        <v>8.9250000000000006E-3</v>
      </c>
      <c r="AQ80" s="34">
        <f t="shared" si="55"/>
        <v>8.8749999999999992E-3</v>
      </c>
      <c r="AR80" s="34">
        <f t="shared" si="55"/>
        <v>8.8249999999999995E-3</v>
      </c>
      <c r="AS80" s="34">
        <f t="shared" si="55"/>
        <v>8.7749999999999998E-3</v>
      </c>
      <c r="AT80" s="34">
        <f t="shared" si="55"/>
        <v>8.7500000000000008E-3</v>
      </c>
    </row>
    <row r="81" spans="4:46" outlineLevel="1" x14ac:dyDescent="0.2">
      <c r="D81" t="s">
        <v>108</v>
      </c>
      <c r="E81" s="11" t="s">
        <v>14</v>
      </c>
      <c r="G81" s="35">
        <f>Inputs_TI!F38</f>
        <v>0.02</v>
      </c>
      <c r="H81" s="3" t="s">
        <v>37</v>
      </c>
      <c r="K81" s="67">
        <f>(K80+$G$81)*K73</f>
        <v>0</v>
      </c>
      <c r="L81" s="67">
        <f t="shared" ref="L81:AT81" si="56">(L80+$G$81)*L73</f>
        <v>5.8774999999999994E-2</v>
      </c>
      <c r="M81" s="67">
        <f t="shared" si="56"/>
        <v>5.8399999999999994E-2</v>
      </c>
      <c r="N81" s="67">
        <f t="shared" si="56"/>
        <v>5.885E-2</v>
      </c>
      <c r="O81" s="67">
        <f t="shared" si="56"/>
        <v>5.9200000000000003E-2</v>
      </c>
      <c r="P81" s="67">
        <f t="shared" si="56"/>
        <v>5.9649999999999995E-2</v>
      </c>
      <c r="Q81" s="67">
        <f t="shared" si="56"/>
        <v>6.0050000000000006E-2</v>
      </c>
      <c r="R81" s="67">
        <f t="shared" si="56"/>
        <v>6.0325000000000004E-2</v>
      </c>
      <c r="S81" s="67">
        <f t="shared" si="56"/>
        <v>6.0550000000000007E-2</v>
      </c>
      <c r="T81" s="67">
        <f t="shared" si="56"/>
        <v>6.0800000000000007E-2</v>
      </c>
      <c r="U81" s="67">
        <f t="shared" si="56"/>
        <v>6.1050000000000007E-2</v>
      </c>
      <c r="V81" s="67">
        <f t="shared" si="56"/>
        <v>6.1249999999999999E-2</v>
      </c>
      <c r="W81" s="67">
        <f t="shared" si="56"/>
        <v>6.1350000000000002E-2</v>
      </c>
      <c r="X81" s="67">
        <f t="shared" si="56"/>
        <v>6.1350000000000002E-2</v>
      </c>
      <c r="Y81" s="67">
        <f t="shared" si="56"/>
        <v>6.1249999999999999E-2</v>
      </c>
      <c r="Z81" s="67">
        <f t="shared" si="56"/>
        <v>6.1075000000000004E-2</v>
      </c>
      <c r="AA81" s="67">
        <f t="shared" si="56"/>
        <v>6.0850000000000001E-2</v>
      </c>
      <c r="AB81" s="67">
        <f t="shared" si="56"/>
        <v>6.0649999999999996E-2</v>
      </c>
      <c r="AC81" s="67">
        <f t="shared" si="56"/>
        <v>6.0450000000000004E-2</v>
      </c>
      <c r="AD81" s="67">
        <f t="shared" si="56"/>
        <v>6.0274999999999995E-2</v>
      </c>
      <c r="AE81" s="67">
        <f t="shared" si="56"/>
        <v>6.0124999999999998E-2</v>
      </c>
      <c r="AF81" s="67">
        <f t="shared" si="56"/>
        <v>0</v>
      </c>
      <c r="AG81" s="67">
        <f t="shared" si="56"/>
        <v>0</v>
      </c>
      <c r="AH81" s="67">
        <f t="shared" si="56"/>
        <v>0</v>
      </c>
      <c r="AI81" s="67">
        <f t="shared" si="56"/>
        <v>0</v>
      </c>
      <c r="AJ81" s="67">
        <f t="shared" si="56"/>
        <v>0</v>
      </c>
      <c r="AK81" s="67">
        <f t="shared" si="56"/>
        <v>0</v>
      </c>
      <c r="AL81" s="67">
        <f t="shared" si="56"/>
        <v>0</v>
      </c>
      <c r="AM81" s="67">
        <f t="shared" si="56"/>
        <v>0</v>
      </c>
      <c r="AN81" s="67">
        <f t="shared" si="56"/>
        <v>0</v>
      </c>
      <c r="AO81" s="67">
        <f t="shared" si="56"/>
        <v>0</v>
      </c>
      <c r="AP81" s="67">
        <f t="shared" si="56"/>
        <v>0</v>
      </c>
      <c r="AQ81" s="67">
        <f t="shared" si="56"/>
        <v>0</v>
      </c>
      <c r="AR81" s="67">
        <f t="shared" si="56"/>
        <v>0</v>
      </c>
      <c r="AS81" s="67">
        <f t="shared" si="56"/>
        <v>0</v>
      </c>
      <c r="AT81" s="67">
        <f t="shared" si="56"/>
        <v>0</v>
      </c>
    </row>
    <row r="82" spans="4:46" outlineLevel="1" x14ac:dyDescent="0.2"/>
    <row r="83" spans="4:46" outlineLevel="1" x14ac:dyDescent="0.2">
      <c r="D83" t="s">
        <v>109</v>
      </c>
      <c r="E83" s="11" t="s">
        <v>41</v>
      </c>
      <c r="J83" s="9">
        <v>1</v>
      </c>
      <c r="K83" s="62">
        <f>J83*(1+K81)</f>
        <v>1</v>
      </c>
      <c r="L83" s="62">
        <f t="shared" ref="L83:AT83" si="57">K83*(1+L81)</f>
        <v>1.058775</v>
      </c>
      <c r="M83" s="62">
        <f t="shared" si="57"/>
        <v>1.12060746</v>
      </c>
      <c r="N83" s="62">
        <f t="shared" si="57"/>
        <v>1.1865552090210001</v>
      </c>
      <c r="O83" s="62">
        <f t="shared" si="57"/>
        <v>1.2567992773950432</v>
      </c>
      <c r="P83" s="62">
        <f t="shared" si="57"/>
        <v>1.3317673542916575</v>
      </c>
      <c r="Q83" s="62">
        <f t="shared" si="57"/>
        <v>1.4117399839168714</v>
      </c>
      <c r="R83" s="62">
        <f t="shared" si="57"/>
        <v>1.4969031984466565</v>
      </c>
      <c r="S83" s="62">
        <f t="shared" si="57"/>
        <v>1.5875406871126017</v>
      </c>
      <c r="T83" s="62">
        <f t="shared" si="57"/>
        <v>1.6840631608890477</v>
      </c>
      <c r="U83" s="62">
        <f t="shared" si="57"/>
        <v>1.7868752168613242</v>
      </c>
      <c r="V83" s="62">
        <f t="shared" si="57"/>
        <v>1.8963213238940804</v>
      </c>
      <c r="W83" s="62">
        <f t="shared" si="57"/>
        <v>2.0126606371149824</v>
      </c>
      <c r="X83" s="62">
        <f t="shared" si="57"/>
        <v>2.1361373672019868</v>
      </c>
      <c r="Y83" s="62">
        <f t="shared" si="57"/>
        <v>2.2669757809431084</v>
      </c>
      <c r="Z83" s="62">
        <f t="shared" si="57"/>
        <v>2.4054313267642087</v>
      </c>
      <c r="AA83" s="62">
        <f t="shared" si="57"/>
        <v>2.551801822997811</v>
      </c>
      <c r="AB83" s="62">
        <f t="shared" si="57"/>
        <v>2.7065686035626286</v>
      </c>
      <c r="AC83" s="62">
        <f t="shared" si="57"/>
        <v>2.8701806756479891</v>
      </c>
      <c r="AD83" s="62">
        <f t="shared" si="57"/>
        <v>3.0431808158726716</v>
      </c>
      <c r="AE83" s="62">
        <f t="shared" si="57"/>
        <v>3.2261520624270159</v>
      </c>
      <c r="AF83" s="62">
        <f t="shared" si="57"/>
        <v>3.2261520624270159</v>
      </c>
      <c r="AG83" s="62">
        <f t="shared" si="57"/>
        <v>3.2261520624270159</v>
      </c>
      <c r="AH83" s="62">
        <f t="shared" si="57"/>
        <v>3.2261520624270159</v>
      </c>
      <c r="AI83" s="62">
        <f t="shared" si="57"/>
        <v>3.2261520624270159</v>
      </c>
      <c r="AJ83" s="62">
        <f t="shared" si="57"/>
        <v>3.2261520624270159</v>
      </c>
      <c r="AK83" s="62">
        <f t="shared" si="57"/>
        <v>3.2261520624270159</v>
      </c>
      <c r="AL83" s="62">
        <f t="shared" si="57"/>
        <v>3.2261520624270159</v>
      </c>
      <c r="AM83" s="62">
        <f t="shared" si="57"/>
        <v>3.2261520624270159</v>
      </c>
      <c r="AN83" s="62">
        <f t="shared" si="57"/>
        <v>3.2261520624270159</v>
      </c>
      <c r="AO83" s="62">
        <f t="shared" si="57"/>
        <v>3.2261520624270159</v>
      </c>
      <c r="AP83" s="62">
        <f t="shared" si="57"/>
        <v>3.2261520624270159</v>
      </c>
      <c r="AQ83" s="62">
        <f t="shared" si="57"/>
        <v>3.2261520624270159</v>
      </c>
      <c r="AR83" s="62">
        <f t="shared" si="57"/>
        <v>3.2261520624270159</v>
      </c>
      <c r="AS83" s="62">
        <f t="shared" si="57"/>
        <v>3.2261520624270159</v>
      </c>
      <c r="AT83" s="62">
        <f t="shared" si="57"/>
        <v>3.2261520624270159</v>
      </c>
    </row>
    <row r="84" spans="4:46" outlineLevel="1" x14ac:dyDescent="0.2">
      <c r="D84" t="s">
        <v>110</v>
      </c>
      <c r="E84" s="11" t="s">
        <v>41</v>
      </c>
      <c r="K84" s="62">
        <f>1/K83</f>
        <v>1</v>
      </c>
      <c r="L84" s="62">
        <f t="shared" ref="L84:AT84" si="58">1/L83</f>
        <v>0.94448773346556159</v>
      </c>
      <c r="M84" s="62">
        <f t="shared" si="58"/>
        <v>0.89237314197426454</v>
      </c>
      <c r="N84" s="62">
        <f t="shared" si="58"/>
        <v>0.84277578691435473</v>
      </c>
      <c r="O84" s="62">
        <f t="shared" si="58"/>
        <v>0.79567200426204199</v>
      </c>
      <c r="P84" s="62">
        <f t="shared" si="58"/>
        <v>0.75088189898744107</v>
      </c>
      <c r="Q84" s="62">
        <f t="shared" si="58"/>
        <v>0.70834573745336649</v>
      </c>
      <c r="R84" s="62">
        <f t="shared" si="58"/>
        <v>0.66804587032595342</v>
      </c>
      <c r="S84" s="62">
        <f t="shared" si="58"/>
        <v>0.62990511557772233</v>
      </c>
      <c r="T84" s="62">
        <f t="shared" si="58"/>
        <v>0.59380195661549995</v>
      </c>
      <c r="U84" s="62">
        <f t="shared" si="58"/>
        <v>0.55963616852693077</v>
      </c>
      <c r="V84" s="62">
        <f t="shared" si="58"/>
        <v>0.52733679013138346</v>
      </c>
      <c r="W84" s="62">
        <f t="shared" si="58"/>
        <v>0.49685475114842742</v>
      </c>
      <c r="X84" s="62">
        <f t="shared" si="58"/>
        <v>0.46813468803733677</v>
      </c>
      <c r="Y84" s="62">
        <f t="shared" si="58"/>
        <v>0.44111631381610061</v>
      </c>
      <c r="Z84" s="62">
        <f t="shared" si="58"/>
        <v>0.41572585709407972</v>
      </c>
      <c r="AA84" s="62">
        <f t="shared" si="58"/>
        <v>0.39187996144042953</v>
      </c>
      <c r="AB84" s="62">
        <f t="shared" si="58"/>
        <v>0.36947151410967755</v>
      </c>
      <c r="AC84" s="62">
        <f t="shared" si="58"/>
        <v>0.34841012222139434</v>
      </c>
      <c r="AD84" s="62">
        <f t="shared" si="58"/>
        <v>0.32860354362914745</v>
      </c>
      <c r="AE84" s="62">
        <f t="shared" si="58"/>
        <v>0.30996679035882324</v>
      </c>
      <c r="AF84" s="62">
        <f t="shared" si="58"/>
        <v>0.30996679035882324</v>
      </c>
      <c r="AG84" s="62">
        <f t="shared" si="58"/>
        <v>0.30996679035882324</v>
      </c>
      <c r="AH84" s="62">
        <f t="shared" si="58"/>
        <v>0.30996679035882324</v>
      </c>
      <c r="AI84" s="62">
        <f t="shared" si="58"/>
        <v>0.30996679035882324</v>
      </c>
      <c r="AJ84" s="62">
        <f t="shared" si="58"/>
        <v>0.30996679035882324</v>
      </c>
      <c r="AK84" s="62">
        <f t="shared" si="58"/>
        <v>0.30996679035882324</v>
      </c>
      <c r="AL84" s="62">
        <f t="shared" si="58"/>
        <v>0.30996679035882324</v>
      </c>
      <c r="AM84" s="62">
        <f t="shared" si="58"/>
        <v>0.30996679035882324</v>
      </c>
      <c r="AN84" s="62">
        <f t="shared" si="58"/>
        <v>0.30996679035882324</v>
      </c>
      <c r="AO84" s="62">
        <f t="shared" si="58"/>
        <v>0.30996679035882324</v>
      </c>
      <c r="AP84" s="62">
        <f t="shared" si="58"/>
        <v>0.30996679035882324</v>
      </c>
      <c r="AQ84" s="62">
        <f t="shared" si="58"/>
        <v>0.30996679035882324</v>
      </c>
      <c r="AR84" s="62">
        <f t="shared" si="58"/>
        <v>0.30996679035882324</v>
      </c>
      <c r="AS84" s="62">
        <f t="shared" si="58"/>
        <v>0.30996679035882324</v>
      </c>
      <c r="AT84" s="62">
        <f t="shared" si="58"/>
        <v>0.30996679035882324</v>
      </c>
    </row>
    <row r="85" spans="4:46" outlineLevel="1" x14ac:dyDescent="0.2">
      <c r="D85" t="s">
        <v>111</v>
      </c>
      <c r="E85" s="11" t="s">
        <v>74</v>
      </c>
      <c r="J85" s="63">
        <f t="shared" ref="J85" ca="1" si="59">SUM(K85:AT85)</f>
        <v>211822017.37170956</v>
      </c>
      <c r="K85" s="7">
        <f>K84*K75</f>
        <v>0</v>
      </c>
      <c r="L85" s="7">
        <f t="shared" ref="L85:AT85" ca="1" si="60">L84*L75</f>
        <v>15877454.751163304</v>
      </c>
      <c r="M85" s="7">
        <f t="shared" ca="1" si="60"/>
        <v>15176927.808790244</v>
      </c>
      <c r="N85" s="7">
        <f t="shared" ca="1" si="60"/>
        <v>14526706.129170464</v>
      </c>
      <c r="O85" s="7">
        <f t="shared" ca="1" si="60"/>
        <v>13894457.013920655</v>
      </c>
      <c r="P85" s="7">
        <f t="shared" ca="1" si="60"/>
        <v>13284592.408494553</v>
      </c>
      <c r="Q85" s="7">
        <f t="shared" ca="1" si="60"/>
        <v>12693000.651705444</v>
      </c>
      <c r="R85" s="7">
        <f t="shared" ca="1" si="60"/>
        <v>12119277.321064491</v>
      </c>
      <c r="S85" s="7">
        <f t="shared" ca="1" si="60"/>
        <v>11565609.505727023</v>
      </c>
      <c r="T85" s="7">
        <f t="shared" ca="1" si="60"/>
        <v>11032719.603722541</v>
      </c>
      <c r="U85" s="7">
        <f t="shared" ca="1" si="60"/>
        <v>10519433.499381227</v>
      </c>
      <c r="V85" s="7">
        <f t="shared" ca="1" si="60"/>
        <v>10024876.837752173</v>
      </c>
      <c r="W85" s="7">
        <f t="shared" ca="1" si="60"/>
        <v>9548880.3611741532</v>
      </c>
      <c r="X85" s="7">
        <f t="shared" ca="1" si="60"/>
        <v>9091983.2910337858</v>
      </c>
      <c r="Y85" s="7">
        <f t="shared" ca="1" si="60"/>
        <v>8654564.931199275</v>
      </c>
      <c r="Z85" s="7">
        <f t="shared" ca="1" si="60"/>
        <v>8236867.3373178989</v>
      </c>
      <c r="AA85" s="7">
        <f t="shared" ca="1" si="60"/>
        <v>7838721.0643213466</v>
      </c>
      <c r="AB85" s="7">
        <f t="shared" ca="1" si="60"/>
        <v>7459512.1142655853</v>
      </c>
      <c r="AC85" s="7">
        <f t="shared" ca="1" si="60"/>
        <v>7098117.1435199389</v>
      </c>
      <c r="AD85" s="7">
        <f t="shared" ca="1" si="60"/>
        <v>6753552.3961110562</v>
      </c>
      <c r="AE85" s="7">
        <f t="shared" ca="1" si="60"/>
        <v>6424763.2018743958</v>
      </c>
      <c r="AF85" s="7">
        <f t="shared" ca="1" si="60"/>
        <v>0</v>
      </c>
      <c r="AG85" s="7">
        <f t="shared" ca="1" si="60"/>
        <v>0</v>
      </c>
      <c r="AH85" s="7">
        <f t="shared" ca="1" si="60"/>
        <v>0</v>
      </c>
      <c r="AI85" s="7">
        <f t="shared" ca="1" si="60"/>
        <v>0</v>
      </c>
      <c r="AJ85" s="7">
        <f t="shared" ca="1" si="60"/>
        <v>0</v>
      </c>
      <c r="AK85" s="7">
        <f t="shared" ca="1" si="60"/>
        <v>0</v>
      </c>
      <c r="AL85" s="7">
        <f t="shared" ca="1" si="60"/>
        <v>0</v>
      </c>
      <c r="AM85" s="7">
        <f t="shared" ca="1" si="60"/>
        <v>0</v>
      </c>
      <c r="AN85" s="7">
        <f t="shared" ca="1" si="60"/>
        <v>0</v>
      </c>
      <c r="AO85" s="7">
        <f t="shared" ca="1" si="60"/>
        <v>0</v>
      </c>
      <c r="AP85" s="7">
        <f t="shared" ca="1" si="60"/>
        <v>0</v>
      </c>
      <c r="AQ85" s="7">
        <f t="shared" ca="1" si="60"/>
        <v>0</v>
      </c>
      <c r="AR85" s="7">
        <f t="shared" ca="1" si="60"/>
        <v>0</v>
      </c>
      <c r="AS85" s="7">
        <f t="shared" ca="1" si="60"/>
        <v>0</v>
      </c>
      <c r="AT85" s="7">
        <f t="shared" ca="1" si="60"/>
        <v>0</v>
      </c>
    </row>
    <row r="86" spans="4:46" outlineLevel="1" x14ac:dyDescent="0.2"/>
    <row r="87" spans="4:46" outlineLevel="1" x14ac:dyDescent="0.2">
      <c r="D87" t="s">
        <v>112</v>
      </c>
      <c r="E87" s="11" t="s">
        <v>74</v>
      </c>
      <c r="G87" s="68">
        <f>Inputs_TI!F33</f>
        <v>0.9</v>
      </c>
      <c r="H87" s="69">
        <f>G87*J27</f>
        <v>249750000</v>
      </c>
    </row>
    <row r="88" spans="4:46" outlineLevel="1" x14ac:dyDescent="0.2">
      <c r="D88" t="s">
        <v>113</v>
      </c>
      <c r="E88" s="11" t="s">
        <v>74</v>
      </c>
      <c r="H88" s="70">
        <f ca="1">MIN(H87,J85)</f>
        <v>211822017.37170956</v>
      </c>
    </row>
    <row r="89" spans="4:46" outlineLevel="1" x14ac:dyDescent="0.2"/>
    <row r="90" spans="4:46" outlineLevel="1" x14ac:dyDescent="0.2">
      <c r="D90" s="45" t="s">
        <v>114</v>
      </c>
    </row>
    <row r="91" spans="4:46" outlineLevel="1" x14ac:dyDescent="0.2">
      <c r="D91" t="s">
        <v>115</v>
      </c>
      <c r="E91" s="11" t="s">
        <v>74</v>
      </c>
      <c r="K91" s="7">
        <f>J94</f>
        <v>0</v>
      </c>
      <c r="L91" s="7">
        <f t="shared" ref="L91:AT91" ca="1" si="61">K94</f>
        <v>211822017.37170956</v>
      </c>
      <c r="M91" s="7">
        <f t="shared" ca="1" si="61"/>
        <v>207461204.28856885</v>
      </c>
      <c r="N91" s="7">
        <f t="shared" ca="1" si="61"/>
        <v>202569560.09660947</v>
      </c>
      <c r="O91" s="7">
        <f t="shared" ca="1" si="61"/>
        <v>197254039.88081044</v>
      </c>
      <c r="P91" s="7">
        <f t="shared" ca="1" si="61"/>
        <v>191468935.50686246</v>
      </c>
      <c r="Q91" s="7">
        <f t="shared" ca="1" si="61"/>
        <v>185198071.02514297</v>
      </c>
      <c r="R91" s="7">
        <f t="shared" ca="1" si="61"/>
        <v>178399998.65430734</v>
      </c>
      <c r="S91" s="7">
        <f t="shared" ca="1" si="61"/>
        <v>171020593.58836496</v>
      </c>
      <c r="T91" s="7">
        <f t="shared" ca="1" si="61"/>
        <v>163015014.86854255</v>
      </c>
      <c r="U91" s="7">
        <f t="shared" ca="1" si="61"/>
        <v>154346531.1235024</v>
      </c>
      <c r="V91" s="7">
        <f t="shared" ca="1" si="61"/>
        <v>144972471.83312711</v>
      </c>
      <c r="W91" s="7">
        <f t="shared" ca="1" si="61"/>
        <v>134841648.01606485</v>
      </c>
      <c r="X91" s="7">
        <f t="shared" ca="1" si="61"/>
        <v>123895527.49039492</v>
      </c>
      <c r="Y91" s="7">
        <f t="shared" ca="1" si="61"/>
        <v>112074792.85197729</v>
      </c>
      <c r="Z91" s="7">
        <f t="shared" ca="1" si="61"/>
        <v>99319684.820532575</v>
      </c>
      <c r="AA91" s="7">
        <f t="shared" ca="1" si="61"/>
        <v>85572415.843361229</v>
      </c>
      <c r="AB91" s="7">
        <f t="shared" ca="1" si="61"/>
        <v>70776634.645523205</v>
      </c>
      <c r="AC91" s="7">
        <f t="shared" ca="1" si="61"/>
        <v>54879556.250407875</v>
      </c>
      <c r="AD91" s="7">
        <f t="shared" ca="1" si="61"/>
        <v>37824146.766928397</v>
      </c>
      <c r="AE91" s="7">
        <f t="shared" ca="1" si="61"/>
        <v>19551716.122468926</v>
      </c>
      <c r="AF91" s="7">
        <f t="shared" ca="1" si="61"/>
        <v>9.3132257461547852E-8</v>
      </c>
      <c r="AG91" s="7">
        <f t="shared" ca="1" si="61"/>
        <v>9.3132257461547852E-8</v>
      </c>
      <c r="AH91" s="7">
        <f t="shared" ca="1" si="61"/>
        <v>9.3132257461547852E-8</v>
      </c>
      <c r="AI91" s="7">
        <f t="shared" ca="1" si="61"/>
        <v>9.3132257461547852E-8</v>
      </c>
      <c r="AJ91" s="7">
        <f t="shared" ca="1" si="61"/>
        <v>9.3132257461547852E-8</v>
      </c>
      <c r="AK91" s="7">
        <f t="shared" ca="1" si="61"/>
        <v>9.3132257461547852E-8</v>
      </c>
      <c r="AL91" s="7">
        <f t="shared" ca="1" si="61"/>
        <v>9.3132257461547852E-8</v>
      </c>
      <c r="AM91" s="7">
        <f t="shared" ca="1" si="61"/>
        <v>9.3132257461547852E-8</v>
      </c>
      <c r="AN91" s="7">
        <f t="shared" ca="1" si="61"/>
        <v>9.3132257461547852E-8</v>
      </c>
      <c r="AO91" s="7">
        <f t="shared" ca="1" si="61"/>
        <v>9.3132257461547852E-8</v>
      </c>
      <c r="AP91" s="7">
        <f t="shared" ca="1" si="61"/>
        <v>9.3132257461547852E-8</v>
      </c>
      <c r="AQ91" s="7">
        <f t="shared" ca="1" si="61"/>
        <v>9.3132257461547852E-8</v>
      </c>
      <c r="AR91" s="7">
        <f t="shared" ca="1" si="61"/>
        <v>9.3132257461547852E-8</v>
      </c>
      <c r="AS91" s="7">
        <f t="shared" ca="1" si="61"/>
        <v>9.3132257461547852E-8</v>
      </c>
      <c r="AT91" s="7">
        <f t="shared" ca="1" si="61"/>
        <v>9.3132257461547852E-8</v>
      </c>
    </row>
    <row r="92" spans="4:46" outlineLevel="1" x14ac:dyDescent="0.2">
      <c r="D92" t="s">
        <v>116</v>
      </c>
      <c r="E92" s="11" t="s">
        <v>74</v>
      </c>
      <c r="G92" s="12">
        <f ca="1">ROUND(J92+J93,0)</f>
        <v>0</v>
      </c>
      <c r="J92" s="63">
        <f t="shared" ref="J92:J93" ca="1" si="62">SUM(K92:AT92)</f>
        <v>211822017.37170956</v>
      </c>
      <c r="K92" s="7">
        <f t="shared" ref="K92:AT92" ca="1" si="63">$H$88*K9</f>
        <v>211822017.37170956</v>
      </c>
      <c r="L92" s="7">
        <f t="shared" ca="1" si="63"/>
        <v>0</v>
      </c>
      <c r="M92" s="7">
        <f t="shared" ca="1" si="63"/>
        <v>0</v>
      </c>
      <c r="N92" s="7">
        <f t="shared" ca="1" si="63"/>
        <v>0</v>
      </c>
      <c r="O92" s="7">
        <f t="shared" ca="1" si="63"/>
        <v>0</v>
      </c>
      <c r="P92" s="7">
        <f t="shared" ca="1" si="63"/>
        <v>0</v>
      </c>
      <c r="Q92" s="7">
        <f t="shared" ca="1" si="63"/>
        <v>0</v>
      </c>
      <c r="R92" s="7">
        <f t="shared" ca="1" si="63"/>
        <v>0</v>
      </c>
      <c r="S92" s="7">
        <f t="shared" ca="1" si="63"/>
        <v>0</v>
      </c>
      <c r="T92" s="7">
        <f t="shared" ca="1" si="63"/>
        <v>0</v>
      </c>
      <c r="U92" s="7">
        <f t="shared" ca="1" si="63"/>
        <v>0</v>
      </c>
      <c r="V92" s="7">
        <f t="shared" ca="1" si="63"/>
        <v>0</v>
      </c>
      <c r="W92" s="7">
        <f t="shared" ca="1" si="63"/>
        <v>0</v>
      </c>
      <c r="X92" s="7">
        <f t="shared" ca="1" si="63"/>
        <v>0</v>
      </c>
      <c r="Y92" s="7">
        <f t="shared" ca="1" si="63"/>
        <v>0</v>
      </c>
      <c r="Z92" s="7">
        <f t="shared" ca="1" si="63"/>
        <v>0</v>
      </c>
      <c r="AA92" s="7">
        <f t="shared" ca="1" si="63"/>
        <v>0</v>
      </c>
      <c r="AB92" s="7">
        <f t="shared" ca="1" si="63"/>
        <v>0</v>
      </c>
      <c r="AC92" s="7">
        <f t="shared" ca="1" si="63"/>
        <v>0</v>
      </c>
      <c r="AD92" s="7">
        <f t="shared" ca="1" si="63"/>
        <v>0</v>
      </c>
      <c r="AE92" s="7">
        <f t="shared" ca="1" si="63"/>
        <v>0</v>
      </c>
      <c r="AF92" s="7">
        <f t="shared" ca="1" si="63"/>
        <v>0</v>
      </c>
      <c r="AG92" s="7">
        <f t="shared" ca="1" si="63"/>
        <v>0</v>
      </c>
      <c r="AH92" s="7">
        <f t="shared" ca="1" si="63"/>
        <v>0</v>
      </c>
      <c r="AI92" s="7">
        <f t="shared" ca="1" si="63"/>
        <v>0</v>
      </c>
      <c r="AJ92" s="7">
        <f t="shared" ca="1" si="63"/>
        <v>0</v>
      </c>
      <c r="AK92" s="7">
        <f t="shared" ca="1" si="63"/>
        <v>0</v>
      </c>
      <c r="AL92" s="7">
        <f t="shared" ca="1" si="63"/>
        <v>0</v>
      </c>
      <c r="AM92" s="7">
        <f t="shared" ca="1" si="63"/>
        <v>0</v>
      </c>
      <c r="AN92" s="7">
        <f t="shared" ca="1" si="63"/>
        <v>0</v>
      </c>
      <c r="AO92" s="7">
        <f t="shared" ca="1" si="63"/>
        <v>0</v>
      </c>
      <c r="AP92" s="7">
        <f t="shared" ca="1" si="63"/>
        <v>0</v>
      </c>
      <c r="AQ92" s="7">
        <f t="shared" ca="1" si="63"/>
        <v>0</v>
      </c>
      <c r="AR92" s="7">
        <f t="shared" ca="1" si="63"/>
        <v>0</v>
      </c>
      <c r="AS92" s="7">
        <f t="shared" ca="1" si="63"/>
        <v>0</v>
      </c>
      <c r="AT92" s="7">
        <f t="shared" ca="1" si="63"/>
        <v>0</v>
      </c>
    </row>
    <row r="93" spans="4:46" outlineLevel="1" x14ac:dyDescent="0.2">
      <c r="D93" t="s">
        <v>117</v>
      </c>
      <c r="E93" s="11" t="s">
        <v>74</v>
      </c>
      <c r="J93" s="63">
        <f t="shared" ca="1" si="62"/>
        <v>-211822017.37170953</v>
      </c>
      <c r="K93" s="7">
        <f>-MIN((K75-K97), K91)</f>
        <v>0</v>
      </c>
      <c r="L93" s="7">
        <f t="shared" ref="L93:AT93" ca="1" si="64">-MIN((L75-L97), L91)</f>
        <v>-4360813.0831407011</v>
      </c>
      <c r="M93" s="7">
        <f t="shared" ca="1" si="64"/>
        <v>-4891644.1919593811</v>
      </c>
      <c r="N93" s="7">
        <f t="shared" ca="1" si="64"/>
        <v>-5315520.2157990355</v>
      </c>
      <c r="O93" s="7">
        <f t="shared" ca="1" si="64"/>
        <v>-5785104.3739479873</v>
      </c>
      <c r="P93" s="7">
        <f t="shared" ca="1" si="64"/>
        <v>-6270864.4817194827</v>
      </c>
      <c r="Q93" s="7">
        <f t="shared" ca="1" si="64"/>
        <v>-6798072.3708356451</v>
      </c>
      <c r="R93" s="7">
        <f t="shared" ca="1" si="64"/>
        <v>-7379405.0659423713</v>
      </c>
      <c r="S93" s="7">
        <f t="shared" ca="1" si="64"/>
        <v>-8005578.7198224161</v>
      </c>
      <c r="T93" s="7">
        <f t="shared" ca="1" si="64"/>
        <v>-8668483.7450401541</v>
      </c>
      <c r="U93" s="7">
        <f t="shared" ca="1" si="64"/>
        <v>-9374059.2903752886</v>
      </c>
      <c r="V93" s="7">
        <f t="shared" ca="1" si="64"/>
        <v>-10130823.817062268</v>
      </c>
      <c r="W93" s="7">
        <f t="shared" ca="1" si="64"/>
        <v>-10946120.525669936</v>
      </c>
      <c r="X93" s="7">
        <f t="shared" ca="1" si="64"/>
        <v>-11820734.638417639</v>
      </c>
      <c r="Y93" s="7">
        <f t="shared" ca="1" si="64"/>
        <v>-12755108.031444708</v>
      </c>
      <c r="Z93" s="7">
        <f t="shared" ca="1" si="64"/>
        <v>-13747268.977171339</v>
      </c>
      <c r="AA93" s="7">
        <f t="shared" ca="1" si="64"/>
        <v>-14795781.197838023</v>
      </c>
      <c r="AB93" s="7">
        <f t="shared" ca="1" si="64"/>
        <v>-15897078.395115335</v>
      </c>
      <c r="AC93" s="7">
        <f t="shared" ca="1" si="64"/>
        <v>-17055409.483479477</v>
      </c>
      <c r="AD93" s="7">
        <f t="shared" ca="1" si="64"/>
        <v>-18272430.644459471</v>
      </c>
      <c r="AE93" s="7">
        <f t="shared" ca="1" si="64"/>
        <v>-19551716.122468833</v>
      </c>
      <c r="AF93" s="7">
        <f t="shared" ca="1" si="64"/>
        <v>0</v>
      </c>
      <c r="AG93" s="7">
        <f t="shared" ca="1" si="64"/>
        <v>0</v>
      </c>
      <c r="AH93" s="7">
        <f t="shared" ca="1" si="64"/>
        <v>0</v>
      </c>
      <c r="AI93" s="7">
        <f t="shared" ca="1" si="64"/>
        <v>0</v>
      </c>
      <c r="AJ93" s="7">
        <f t="shared" ca="1" si="64"/>
        <v>0</v>
      </c>
      <c r="AK93" s="7">
        <f t="shared" ca="1" si="64"/>
        <v>0</v>
      </c>
      <c r="AL93" s="7">
        <f t="shared" ca="1" si="64"/>
        <v>0</v>
      </c>
      <c r="AM93" s="7">
        <f t="shared" ca="1" si="64"/>
        <v>0</v>
      </c>
      <c r="AN93" s="7">
        <f t="shared" ca="1" si="64"/>
        <v>0</v>
      </c>
      <c r="AO93" s="7">
        <f t="shared" ca="1" si="64"/>
        <v>0</v>
      </c>
      <c r="AP93" s="7">
        <f t="shared" ca="1" si="64"/>
        <v>0</v>
      </c>
      <c r="AQ93" s="7">
        <f t="shared" ca="1" si="64"/>
        <v>0</v>
      </c>
      <c r="AR93" s="7">
        <f t="shared" ca="1" si="64"/>
        <v>0</v>
      </c>
      <c r="AS93" s="7">
        <f t="shared" ca="1" si="64"/>
        <v>0</v>
      </c>
      <c r="AT93" s="7">
        <f t="shared" ca="1" si="64"/>
        <v>0</v>
      </c>
    </row>
    <row r="94" spans="4:46" ht="17" outlineLevel="1" thickBot="1" x14ac:dyDescent="0.25">
      <c r="D94" t="s">
        <v>118</v>
      </c>
      <c r="E94" s="11" t="s">
        <v>74</v>
      </c>
      <c r="J94" s="10"/>
      <c r="K94" s="71">
        <f ca="1">SUM(K91:K93)</f>
        <v>211822017.37170956</v>
      </c>
      <c r="L94" s="71">
        <f t="shared" ref="L94:AT94" ca="1" si="65">SUM(L91:L93)</f>
        <v>207461204.28856885</v>
      </c>
      <c r="M94" s="71">
        <f t="shared" ca="1" si="65"/>
        <v>202569560.09660947</v>
      </c>
      <c r="N94" s="71">
        <f t="shared" ca="1" si="65"/>
        <v>197254039.88081044</v>
      </c>
      <c r="O94" s="71">
        <f t="shared" ca="1" si="65"/>
        <v>191468935.50686246</v>
      </c>
      <c r="P94" s="71">
        <f t="shared" ca="1" si="65"/>
        <v>185198071.02514297</v>
      </c>
      <c r="Q94" s="71">
        <f t="shared" ca="1" si="65"/>
        <v>178399998.65430734</v>
      </c>
      <c r="R94" s="71">
        <f t="shared" ca="1" si="65"/>
        <v>171020593.58836496</v>
      </c>
      <c r="S94" s="71">
        <f t="shared" ca="1" si="65"/>
        <v>163015014.86854255</v>
      </c>
      <c r="T94" s="71">
        <f t="shared" ca="1" si="65"/>
        <v>154346531.1235024</v>
      </c>
      <c r="U94" s="71">
        <f t="shared" ca="1" si="65"/>
        <v>144972471.83312711</v>
      </c>
      <c r="V94" s="71">
        <f t="shared" ca="1" si="65"/>
        <v>134841648.01606485</v>
      </c>
      <c r="W94" s="71">
        <f t="shared" ca="1" si="65"/>
        <v>123895527.49039492</v>
      </c>
      <c r="X94" s="71">
        <f t="shared" ca="1" si="65"/>
        <v>112074792.85197729</v>
      </c>
      <c r="Y94" s="71">
        <f t="shared" ca="1" si="65"/>
        <v>99319684.820532575</v>
      </c>
      <c r="Z94" s="71">
        <f t="shared" ca="1" si="65"/>
        <v>85572415.843361229</v>
      </c>
      <c r="AA94" s="71">
        <f t="shared" ca="1" si="65"/>
        <v>70776634.645523205</v>
      </c>
      <c r="AB94" s="71">
        <f t="shared" ca="1" si="65"/>
        <v>54879556.250407875</v>
      </c>
      <c r="AC94" s="71">
        <f t="shared" ca="1" si="65"/>
        <v>37824146.766928397</v>
      </c>
      <c r="AD94" s="71">
        <f t="shared" ca="1" si="65"/>
        <v>19551716.122468926</v>
      </c>
      <c r="AE94" s="71">
        <f t="shared" ca="1" si="65"/>
        <v>9.3132257461547852E-8</v>
      </c>
      <c r="AF94" s="71">
        <f t="shared" ca="1" si="65"/>
        <v>9.3132257461547852E-8</v>
      </c>
      <c r="AG94" s="71">
        <f t="shared" ca="1" si="65"/>
        <v>9.3132257461547852E-8</v>
      </c>
      <c r="AH94" s="71">
        <f t="shared" ca="1" si="65"/>
        <v>9.3132257461547852E-8</v>
      </c>
      <c r="AI94" s="71">
        <f t="shared" ca="1" si="65"/>
        <v>9.3132257461547852E-8</v>
      </c>
      <c r="AJ94" s="71">
        <f t="shared" ca="1" si="65"/>
        <v>9.3132257461547852E-8</v>
      </c>
      <c r="AK94" s="71">
        <f t="shared" ca="1" si="65"/>
        <v>9.3132257461547852E-8</v>
      </c>
      <c r="AL94" s="71">
        <f t="shared" ca="1" si="65"/>
        <v>9.3132257461547852E-8</v>
      </c>
      <c r="AM94" s="71">
        <f t="shared" ca="1" si="65"/>
        <v>9.3132257461547852E-8</v>
      </c>
      <c r="AN94" s="71">
        <f t="shared" ca="1" si="65"/>
        <v>9.3132257461547852E-8</v>
      </c>
      <c r="AO94" s="71">
        <f t="shared" ca="1" si="65"/>
        <v>9.3132257461547852E-8</v>
      </c>
      <c r="AP94" s="71">
        <f t="shared" ca="1" si="65"/>
        <v>9.3132257461547852E-8</v>
      </c>
      <c r="AQ94" s="71">
        <f t="shared" ca="1" si="65"/>
        <v>9.3132257461547852E-8</v>
      </c>
      <c r="AR94" s="71">
        <f t="shared" ca="1" si="65"/>
        <v>9.3132257461547852E-8</v>
      </c>
      <c r="AS94" s="71">
        <f t="shared" ca="1" si="65"/>
        <v>9.3132257461547852E-8</v>
      </c>
      <c r="AT94" s="71">
        <f t="shared" ca="1" si="65"/>
        <v>9.3132257461547852E-8</v>
      </c>
    </row>
    <row r="95" spans="4:46" ht="17" outlineLevel="1" thickTop="1" x14ac:dyDescent="0.2"/>
    <row r="96" spans="4:46" outlineLevel="1" x14ac:dyDescent="0.2">
      <c r="D96" s="45" t="s">
        <v>119</v>
      </c>
    </row>
    <row r="97" spans="3:46" outlineLevel="1" x14ac:dyDescent="0.2">
      <c r="D97" t="s">
        <v>119</v>
      </c>
      <c r="E97" s="11" t="s">
        <v>74</v>
      </c>
      <c r="J97" s="63">
        <f t="shared" ref="J97" ca="1" si="66">SUM(K97:AT97)</f>
        <v>165114114.21043679</v>
      </c>
      <c r="K97" s="7">
        <f>K91*K81*K73</f>
        <v>0</v>
      </c>
      <c r="L97" s="7">
        <f t="shared" ref="L97:AT97" ca="1" si="67">L91*L81*L73</f>
        <v>12449839.071022227</v>
      </c>
      <c r="M97" s="7">
        <f t="shared" ca="1" si="67"/>
        <v>12115734.33045242</v>
      </c>
      <c r="N97" s="7">
        <f t="shared" ca="1" si="67"/>
        <v>11921218.611685468</v>
      </c>
      <c r="O97" s="7">
        <f t="shared" ca="1" si="67"/>
        <v>11677439.160943979</v>
      </c>
      <c r="P97" s="7">
        <f t="shared" ca="1" si="67"/>
        <v>11421122.002984345</v>
      </c>
      <c r="Q97" s="7">
        <f t="shared" ca="1" si="67"/>
        <v>11121144.165059837</v>
      </c>
      <c r="R97" s="7">
        <f t="shared" ca="1" si="67"/>
        <v>10761979.918821091</v>
      </c>
      <c r="S97" s="7">
        <f t="shared" ca="1" si="67"/>
        <v>10355296.941775499</v>
      </c>
      <c r="T97" s="7">
        <f t="shared" ca="1" si="67"/>
        <v>9911312.9040073883</v>
      </c>
      <c r="U97" s="7">
        <f t="shared" ca="1" si="67"/>
        <v>9422855.725089822</v>
      </c>
      <c r="V97" s="7">
        <f t="shared" ca="1" si="67"/>
        <v>8879563.8997790348</v>
      </c>
      <c r="W97" s="7">
        <f t="shared" ca="1" si="67"/>
        <v>8272535.1057855785</v>
      </c>
      <c r="X97" s="7">
        <f t="shared" ca="1" si="67"/>
        <v>7600990.6115357289</v>
      </c>
      <c r="Y97" s="7">
        <f t="shared" ca="1" si="67"/>
        <v>6864581.0621836092</v>
      </c>
      <c r="Z97" s="7">
        <f t="shared" ca="1" si="67"/>
        <v>6065949.7504140278</v>
      </c>
      <c r="AA97" s="7">
        <f t="shared" ca="1" si="67"/>
        <v>5207081.5040685311</v>
      </c>
      <c r="AB97" s="7">
        <f t="shared" ca="1" si="67"/>
        <v>4292602.8912509819</v>
      </c>
      <c r="AC97" s="7">
        <f t="shared" ca="1" si="67"/>
        <v>3317469.1753371563</v>
      </c>
      <c r="AD97" s="7">
        <f t="shared" ca="1" si="67"/>
        <v>2279850.4463766092</v>
      </c>
      <c r="AE97" s="7">
        <f t="shared" ca="1" si="67"/>
        <v>1175546.9318634442</v>
      </c>
      <c r="AF97" s="7">
        <f t="shared" ca="1" si="67"/>
        <v>0</v>
      </c>
      <c r="AG97" s="7">
        <f t="shared" ca="1" si="67"/>
        <v>0</v>
      </c>
      <c r="AH97" s="7">
        <f t="shared" ca="1" si="67"/>
        <v>0</v>
      </c>
      <c r="AI97" s="7">
        <f t="shared" ca="1" si="67"/>
        <v>0</v>
      </c>
      <c r="AJ97" s="7">
        <f t="shared" ca="1" si="67"/>
        <v>0</v>
      </c>
      <c r="AK97" s="7">
        <f t="shared" ca="1" si="67"/>
        <v>0</v>
      </c>
      <c r="AL97" s="7">
        <f t="shared" ca="1" si="67"/>
        <v>0</v>
      </c>
      <c r="AM97" s="7">
        <f t="shared" ca="1" si="67"/>
        <v>0</v>
      </c>
      <c r="AN97" s="7">
        <f t="shared" ca="1" si="67"/>
        <v>0</v>
      </c>
      <c r="AO97" s="7">
        <f t="shared" ca="1" si="67"/>
        <v>0</v>
      </c>
      <c r="AP97" s="7">
        <f t="shared" ca="1" si="67"/>
        <v>0</v>
      </c>
      <c r="AQ97" s="7">
        <f t="shared" ca="1" si="67"/>
        <v>0</v>
      </c>
      <c r="AR97" s="7">
        <f t="shared" ca="1" si="67"/>
        <v>0</v>
      </c>
      <c r="AS97" s="7">
        <f t="shared" ca="1" si="67"/>
        <v>0</v>
      </c>
      <c r="AT97" s="7">
        <f t="shared" ca="1" si="67"/>
        <v>0</v>
      </c>
    </row>
    <row r="98" spans="3:46" outlineLevel="1" x14ac:dyDescent="0.2"/>
    <row r="99" spans="3:46" outlineLevel="1" x14ac:dyDescent="0.2">
      <c r="D99" t="s">
        <v>120</v>
      </c>
      <c r="E99" s="11" t="s">
        <v>121</v>
      </c>
      <c r="G99" s="12">
        <f ca="1">ROUND(J75+J93-J97,0)</f>
        <v>0</v>
      </c>
    </row>
    <row r="101" spans="3:46" ht="20" x14ac:dyDescent="0.25">
      <c r="C101" s="29" t="s">
        <v>122</v>
      </c>
    </row>
    <row r="102" spans="3:46" x14ac:dyDescent="0.2">
      <c r="D102" s="45" t="s">
        <v>124</v>
      </c>
    </row>
    <row r="103" spans="3:46" x14ac:dyDescent="0.2">
      <c r="D103" t="s">
        <v>123</v>
      </c>
      <c r="E103" s="11" t="s">
        <v>74</v>
      </c>
      <c r="J103" s="63">
        <f t="shared" ref="J103:J105" ca="1" si="68">SUM(K103:AT103)</f>
        <v>375187811.8762148</v>
      </c>
      <c r="K103" s="47">
        <f t="shared" ref="K103:AT103" si="69">K62+K93-K97</f>
        <v>0</v>
      </c>
      <c r="L103" s="47">
        <f t="shared" ca="1" si="69"/>
        <v>5043195.646248877</v>
      </c>
      <c r="M103" s="47">
        <f t="shared" ca="1" si="69"/>
        <v>5102213.5567235425</v>
      </c>
      <c r="N103" s="47">
        <f t="shared" ca="1" si="69"/>
        <v>5171021.6482453514</v>
      </c>
      <c r="O103" s="47">
        <f t="shared" ca="1" si="69"/>
        <v>5238763.0604675915</v>
      </c>
      <c r="P103" s="47">
        <f t="shared" ca="1" si="69"/>
        <v>5307595.9454111494</v>
      </c>
      <c r="Q103" s="47">
        <f t="shared" ca="1" si="69"/>
        <v>5375764.9607686438</v>
      </c>
      <c r="R103" s="47">
        <f t="shared" ca="1" si="69"/>
        <v>5442415.495429039</v>
      </c>
      <c r="S103" s="47">
        <f t="shared" ca="1" si="69"/>
        <v>5508262.6984793767</v>
      </c>
      <c r="T103" s="47">
        <f t="shared" ca="1" si="69"/>
        <v>5573938.9947142638</v>
      </c>
      <c r="U103" s="47">
        <f t="shared" ca="1" si="69"/>
        <v>5639074.5046395361</v>
      </c>
      <c r="V103" s="47">
        <f t="shared" ca="1" si="69"/>
        <v>5703116.3150523901</v>
      </c>
      <c r="W103" s="47">
        <f t="shared" ca="1" si="69"/>
        <v>5765596.6894366555</v>
      </c>
      <c r="X103" s="47">
        <f t="shared" ca="1" si="69"/>
        <v>5826517.5749860099</v>
      </c>
      <c r="Y103" s="47">
        <f t="shared" ca="1" si="69"/>
        <v>5885906.7280884944</v>
      </c>
      <c r="Z103" s="47">
        <f t="shared" ca="1" si="69"/>
        <v>5943965.6182756098</v>
      </c>
      <c r="AA103" s="47">
        <f t="shared" ca="1" si="69"/>
        <v>6000858.8105719648</v>
      </c>
      <c r="AB103" s="47">
        <f t="shared" ca="1" si="69"/>
        <v>6056904.3859098973</v>
      </c>
      <c r="AC103" s="47">
        <f t="shared" ca="1" si="69"/>
        <v>6111863.5976449866</v>
      </c>
      <c r="AD103" s="47">
        <f t="shared" ca="1" si="69"/>
        <v>6165684.3272508252</v>
      </c>
      <c r="AE103" s="47">
        <f t="shared" ca="1" si="69"/>
        <v>6218178.9162996877</v>
      </c>
      <c r="AF103" s="47">
        <f t="shared" ca="1" si="69"/>
        <v>23697524.252160765</v>
      </c>
      <c r="AG103" s="47">
        <f t="shared" ca="1" si="69"/>
        <v>24223657.201241396</v>
      </c>
      <c r="AH103" s="47">
        <f t="shared" ca="1" si="69"/>
        <v>24761456.909827657</v>
      </c>
      <c r="AI103" s="47">
        <f t="shared" ca="1" si="69"/>
        <v>25311181.797513664</v>
      </c>
      <c r="AJ103" s="47">
        <f t="shared" ca="1" si="69"/>
        <v>25873096.002260931</v>
      </c>
      <c r="AK103" s="47">
        <f t="shared" ca="1" si="69"/>
        <v>26447469.506824035</v>
      </c>
      <c r="AL103" s="47">
        <f t="shared" ca="1" si="69"/>
        <v>27034578.267968941</v>
      </c>
      <c r="AM103" s="47">
        <f t="shared" ca="1" si="69"/>
        <v>27634704.34854611</v>
      </c>
      <c r="AN103" s="47">
        <f t="shared" ca="1" si="69"/>
        <v>28248136.052480966</v>
      </c>
      <c r="AO103" s="47">
        <f t="shared" ca="1" si="69"/>
        <v>28875168.062746458</v>
      </c>
      <c r="AP103" s="47">
        <f t="shared" ca="1" si="69"/>
        <v>0</v>
      </c>
      <c r="AQ103" s="47">
        <f t="shared" ca="1" si="69"/>
        <v>0</v>
      </c>
      <c r="AR103" s="47">
        <f t="shared" ca="1" si="69"/>
        <v>0</v>
      </c>
      <c r="AS103" s="47">
        <f t="shared" ca="1" si="69"/>
        <v>0</v>
      </c>
      <c r="AT103" s="47">
        <f t="shared" ca="1" si="69"/>
        <v>0</v>
      </c>
    </row>
    <row r="104" spans="3:46" x14ac:dyDescent="0.2">
      <c r="D104" t="s">
        <v>125</v>
      </c>
      <c r="E104" s="11" t="s">
        <v>74</v>
      </c>
      <c r="J104" s="63">
        <f t="shared" ca="1" si="68"/>
        <v>65677982.628290445</v>
      </c>
      <c r="K104" s="47">
        <f ca="1">K27-K92</f>
        <v>65677982.628290445</v>
      </c>
      <c r="L104" s="47">
        <f t="shared" ref="L104:AT104" ca="1" si="70">L27-L92</f>
        <v>0</v>
      </c>
      <c r="M104" s="47">
        <f t="shared" ca="1" si="70"/>
        <v>0</v>
      </c>
      <c r="N104" s="47">
        <f t="shared" ca="1" si="70"/>
        <v>0</v>
      </c>
      <c r="O104" s="47">
        <f t="shared" ca="1" si="70"/>
        <v>0</v>
      </c>
      <c r="P104" s="47">
        <f t="shared" ca="1" si="70"/>
        <v>0</v>
      </c>
      <c r="Q104" s="47">
        <f t="shared" ca="1" si="70"/>
        <v>0</v>
      </c>
      <c r="R104" s="47">
        <f t="shared" ca="1" si="70"/>
        <v>0</v>
      </c>
      <c r="S104" s="47">
        <f t="shared" ca="1" si="70"/>
        <v>0</v>
      </c>
      <c r="T104" s="47">
        <f t="shared" ca="1" si="70"/>
        <v>0</v>
      </c>
      <c r="U104" s="47">
        <f t="shared" ca="1" si="70"/>
        <v>0</v>
      </c>
      <c r="V104" s="47">
        <f t="shared" ca="1" si="70"/>
        <v>0</v>
      </c>
      <c r="W104" s="47">
        <f t="shared" ca="1" si="70"/>
        <v>0</v>
      </c>
      <c r="X104" s="47">
        <f t="shared" ca="1" si="70"/>
        <v>0</v>
      </c>
      <c r="Y104" s="47">
        <f t="shared" ca="1" si="70"/>
        <v>0</v>
      </c>
      <c r="Z104" s="47">
        <f t="shared" ca="1" si="70"/>
        <v>0</v>
      </c>
      <c r="AA104" s="47">
        <f t="shared" ca="1" si="70"/>
        <v>0</v>
      </c>
      <c r="AB104" s="47">
        <f t="shared" ca="1" si="70"/>
        <v>0</v>
      </c>
      <c r="AC104" s="47">
        <f t="shared" ca="1" si="70"/>
        <v>0</v>
      </c>
      <c r="AD104" s="47">
        <f t="shared" ca="1" si="70"/>
        <v>0</v>
      </c>
      <c r="AE104" s="47">
        <f t="shared" ca="1" si="70"/>
        <v>0</v>
      </c>
      <c r="AF104" s="47">
        <f t="shared" ca="1" si="70"/>
        <v>0</v>
      </c>
      <c r="AG104" s="47">
        <f t="shared" ca="1" si="70"/>
        <v>0</v>
      </c>
      <c r="AH104" s="47">
        <f t="shared" ca="1" si="70"/>
        <v>0</v>
      </c>
      <c r="AI104" s="47">
        <f t="shared" ca="1" si="70"/>
        <v>0</v>
      </c>
      <c r="AJ104" s="47">
        <f t="shared" ca="1" si="70"/>
        <v>0</v>
      </c>
      <c r="AK104" s="47">
        <f t="shared" ca="1" si="70"/>
        <v>0</v>
      </c>
      <c r="AL104" s="47">
        <f t="shared" ca="1" si="70"/>
        <v>0</v>
      </c>
      <c r="AM104" s="47">
        <f t="shared" ca="1" si="70"/>
        <v>0</v>
      </c>
      <c r="AN104" s="47">
        <f t="shared" ca="1" si="70"/>
        <v>0</v>
      </c>
      <c r="AO104" s="47">
        <f t="shared" ca="1" si="70"/>
        <v>0</v>
      </c>
      <c r="AP104" s="47">
        <f t="shared" ca="1" si="70"/>
        <v>0</v>
      </c>
      <c r="AQ104" s="47">
        <f t="shared" ca="1" si="70"/>
        <v>0</v>
      </c>
      <c r="AR104" s="47">
        <f t="shared" ca="1" si="70"/>
        <v>0</v>
      </c>
      <c r="AS104" s="47">
        <f t="shared" ca="1" si="70"/>
        <v>0</v>
      </c>
      <c r="AT104" s="47">
        <f t="shared" ca="1" si="70"/>
        <v>0</v>
      </c>
    </row>
    <row r="105" spans="3:46" x14ac:dyDescent="0.2">
      <c r="D105" s="56" t="s">
        <v>126</v>
      </c>
      <c r="E105" s="57"/>
      <c r="F105" s="56"/>
      <c r="G105" s="56"/>
      <c r="H105" s="56"/>
      <c r="I105" s="56"/>
      <c r="J105" s="58">
        <f t="shared" ca="1" si="68"/>
        <v>309509829.24792439</v>
      </c>
      <c r="K105" s="59">
        <f ca="1">K103-K104</f>
        <v>-65677982.628290445</v>
      </c>
      <c r="L105" s="59">
        <f t="shared" ref="L105:AT105" ca="1" si="71">L103-L104</f>
        <v>5043195.646248877</v>
      </c>
      <c r="M105" s="59">
        <f t="shared" ca="1" si="71"/>
        <v>5102213.5567235425</v>
      </c>
      <c r="N105" s="59">
        <f t="shared" ca="1" si="71"/>
        <v>5171021.6482453514</v>
      </c>
      <c r="O105" s="59">
        <f t="shared" ca="1" si="71"/>
        <v>5238763.0604675915</v>
      </c>
      <c r="P105" s="59">
        <f t="shared" ca="1" si="71"/>
        <v>5307595.9454111494</v>
      </c>
      <c r="Q105" s="59">
        <f t="shared" ca="1" si="71"/>
        <v>5375764.9607686438</v>
      </c>
      <c r="R105" s="59">
        <f t="shared" ca="1" si="71"/>
        <v>5442415.495429039</v>
      </c>
      <c r="S105" s="59">
        <f t="shared" ca="1" si="71"/>
        <v>5508262.6984793767</v>
      </c>
      <c r="T105" s="59">
        <f t="shared" ca="1" si="71"/>
        <v>5573938.9947142638</v>
      </c>
      <c r="U105" s="59">
        <f t="shared" ca="1" si="71"/>
        <v>5639074.5046395361</v>
      </c>
      <c r="V105" s="59">
        <f t="shared" ca="1" si="71"/>
        <v>5703116.3150523901</v>
      </c>
      <c r="W105" s="59">
        <f t="shared" ca="1" si="71"/>
        <v>5765596.6894366555</v>
      </c>
      <c r="X105" s="59">
        <f t="shared" ca="1" si="71"/>
        <v>5826517.5749860099</v>
      </c>
      <c r="Y105" s="59">
        <f t="shared" ca="1" si="71"/>
        <v>5885906.7280884944</v>
      </c>
      <c r="Z105" s="59">
        <f t="shared" ca="1" si="71"/>
        <v>5943965.6182756098</v>
      </c>
      <c r="AA105" s="59">
        <f t="shared" ca="1" si="71"/>
        <v>6000858.8105719648</v>
      </c>
      <c r="AB105" s="59">
        <f t="shared" ca="1" si="71"/>
        <v>6056904.3859098973</v>
      </c>
      <c r="AC105" s="59">
        <f t="shared" ca="1" si="71"/>
        <v>6111863.5976449866</v>
      </c>
      <c r="AD105" s="59">
        <f t="shared" ca="1" si="71"/>
        <v>6165684.3272508252</v>
      </c>
      <c r="AE105" s="59">
        <f t="shared" ca="1" si="71"/>
        <v>6218178.9162996877</v>
      </c>
      <c r="AF105" s="59">
        <f t="shared" ca="1" si="71"/>
        <v>23697524.252160765</v>
      </c>
      <c r="AG105" s="59">
        <f t="shared" ca="1" si="71"/>
        <v>24223657.201241396</v>
      </c>
      <c r="AH105" s="59">
        <f t="shared" ca="1" si="71"/>
        <v>24761456.909827657</v>
      </c>
      <c r="AI105" s="59">
        <f t="shared" ca="1" si="71"/>
        <v>25311181.797513664</v>
      </c>
      <c r="AJ105" s="59">
        <f t="shared" ca="1" si="71"/>
        <v>25873096.002260931</v>
      </c>
      <c r="AK105" s="59">
        <f t="shared" ca="1" si="71"/>
        <v>26447469.506824035</v>
      </c>
      <c r="AL105" s="59">
        <f t="shared" ca="1" si="71"/>
        <v>27034578.267968941</v>
      </c>
      <c r="AM105" s="59">
        <f t="shared" ca="1" si="71"/>
        <v>27634704.34854611</v>
      </c>
      <c r="AN105" s="59">
        <f t="shared" ca="1" si="71"/>
        <v>28248136.052480966</v>
      </c>
      <c r="AO105" s="59">
        <f t="shared" ca="1" si="71"/>
        <v>28875168.062746458</v>
      </c>
      <c r="AP105" s="59">
        <f t="shared" ca="1" si="71"/>
        <v>0</v>
      </c>
      <c r="AQ105" s="59">
        <f t="shared" ca="1" si="71"/>
        <v>0</v>
      </c>
      <c r="AR105" s="59">
        <f t="shared" ca="1" si="71"/>
        <v>0</v>
      </c>
      <c r="AS105" s="59">
        <f t="shared" ca="1" si="71"/>
        <v>0</v>
      </c>
      <c r="AT105" s="59">
        <f t="shared" ca="1" si="71"/>
        <v>0</v>
      </c>
    </row>
    <row r="107" spans="3:46" x14ac:dyDescent="0.2">
      <c r="D107" s="45" t="s">
        <v>127</v>
      </c>
      <c r="E107" s="11" t="s">
        <v>13</v>
      </c>
      <c r="G107" s="60">
        <f ca="1">XIRR(K105:AT105,$K$6:$AT$6)</f>
        <v>0.10526180863380433</v>
      </c>
    </row>
    <row r="109" spans="3:46" x14ac:dyDescent="0.2">
      <c r="D109" s="45" t="s">
        <v>128</v>
      </c>
    </row>
    <row r="110" spans="3:46" x14ac:dyDescent="0.2">
      <c r="D110" t="s">
        <v>129</v>
      </c>
      <c r="E110" s="11" t="s">
        <v>14</v>
      </c>
      <c r="G110" s="35">
        <f>Inputs_TI!F46</f>
        <v>0.1</v>
      </c>
    </row>
    <row r="111" spans="3:46" x14ac:dyDescent="0.2">
      <c r="D111" s="45" t="s">
        <v>130</v>
      </c>
      <c r="E111" s="11" t="s">
        <v>74</v>
      </c>
      <c r="G111" s="72">
        <f ca="1">XNPV($G$110, $K$105:$AT$105,K6:AT6)</f>
        <v>4324684.2328760773</v>
      </c>
    </row>
    <row r="114" spans="4:46" x14ac:dyDescent="0.2">
      <c r="D114" s="45" t="s">
        <v>131</v>
      </c>
      <c r="E114" s="11" t="s">
        <v>13</v>
      </c>
      <c r="G114" s="60">
        <f ca="1">J103/J104</f>
        <v>5.7125355691818198</v>
      </c>
      <c r="H114" s="3" t="s">
        <v>132</v>
      </c>
      <c r="J114" s="73">
        <f t="shared" ref="J114" ca="1" si="72">SUM(K114:AT114)</f>
        <v>5.7125355691818189</v>
      </c>
      <c r="K114" s="39">
        <f ca="1">K103/$J$104</f>
        <v>0</v>
      </c>
      <c r="L114" s="39">
        <f t="shared" ref="L114:AT114" ca="1" si="73">L103/$J$104</f>
        <v>7.6786701485507369E-2</v>
      </c>
      <c r="M114" s="39">
        <f t="shared" ca="1" si="73"/>
        <v>7.7685296541459101E-2</v>
      </c>
      <c r="N114" s="39">
        <f t="shared" ca="1" si="73"/>
        <v>7.873295496165196E-2</v>
      </c>
      <c r="O114" s="39">
        <f t="shared" ca="1" si="73"/>
        <v>7.9764372333370387E-2</v>
      </c>
      <c r="P114" s="39">
        <f t="shared" ca="1" si="73"/>
        <v>8.0812408253309084E-2</v>
      </c>
      <c r="Q114" s="39">
        <f t="shared" ca="1" si="73"/>
        <v>8.1850336225964729E-2</v>
      </c>
      <c r="R114" s="39">
        <f t="shared" ca="1" si="73"/>
        <v>8.2865144111243558E-2</v>
      </c>
      <c r="S114" s="39">
        <f t="shared" ca="1" si="73"/>
        <v>8.3867720627988987E-2</v>
      </c>
      <c r="T114" s="39">
        <f t="shared" ca="1" si="73"/>
        <v>8.4867694951295883E-2</v>
      </c>
      <c r="U114" s="39">
        <f t="shared" ca="1" si="73"/>
        <v>8.5859435368992806E-2</v>
      </c>
      <c r="V114" s="39">
        <f t="shared" ca="1" si="73"/>
        <v>8.6834523333787703E-2</v>
      </c>
      <c r="W114" s="39">
        <f t="shared" ca="1" si="73"/>
        <v>8.7785837181807033E-2</v>
      </c>
      <c r="X114" s="39">
        <f t="shared" ca="1" si="73"/>
        <v>8.8713406560637392E-2</v>
      </c>
      <c r="Y114" s="39">
        <f t="shared" ca="1" si="73"/>
        <v>8.9617654083564549E-2</v>
      </c>
      <c r="Z114" s="39">
        <f t="shared" ca="1" si="73"/>
        <v>9.0501647285909148E-2</v>
      </c>
      <c r="AA114" s="39">
        <f t="shared" ca="1" si="73"/>
        <v>9.1367891802254089E-2</v>
      </c>
      <c r="AB114" s="39">
        <f t="shared" ca="1" si="73"/>
        <v>9.2221230670092441E-2</v>
      </c>
      <c r="AC114" s="39">
        <f t="shared" ca="1" si="73"/>
        <v>9.3058028780139995E-2</v>
      </c>
      <c r="AD114" s="39">
        <f t="shared" ca="1" si="73"/>
        <v>9.3877492586000796E-2</v>
      </c>
      <c r="AE114" s="39">
        <f t="shared" ca="1" si="73"/>
        <v>9.4676764837494265E-2</v>
      </c>
      <c r="AF114" s="39">
        <f t="shared" ca="1" si="73"/>
        <v>0.36081382685395064</v>
      </c>
      <c r="AG114" s="39">
        <f t="shared" ca="1" si="73"/>
        <v>0.36882462328870597</v>
      </c>
      <c r="AH114" s="39">
        <f t="shared" ca="1" si="73"/>
        <v>0.37701305550091285</v>
      </c>
      <c r="AI114" s="39">
        <f t="shared" ca="1" si="73"/>
        <v>0.38538305813630463</v>
      </c>
      <c r="AJ114" s="39">
        <f t="shared" ca="1" si="73"/>
        <v>0.39393865290734786</v>
      </c>
      <c r="AK114" s="39">
        <f t="shared" ca="1" si="73"/>
        <v>0.40268395051817452</v>
      </c>
      <c r="AL114" s="39">
        <f t="shared" ca="1" si="73"/>
        <v>0.41162315263203503</v>
      </c>
      <c r="AM114" s="39">
        <f t="shared" ca="1" si="73"/>
        <v>0.42076055388221695</v>
      </c>
      <c r="AN114" s="39">
        <f t="shared" ca="1" si="73"/>
        <v>0.43010054392738351</v>
      </c>
      <c r="AO114" s="39">
        <f t="shared" ca="1" si="73"/>
        <v>0.43964760955231641</v>
      </c>
      <c r="AP114" s="39">
        <f t="shared" ca="1" si="73"/>
        <v>0</v>
      </c>
      <c r="AQ114" s="39">
        <f t="shared" ca="1" si="73"/>
        <v>0</v>
      </c>
      <c r="AR114" s="39">
        <f t="shared" ca="1" si="73"/>
        <v>0</v>
      </c>
      <c r="AS114" s="39">
        <f t="shared" ca="1" si="73"/>
        <v>0</v>
      </c>
      <c r="AT114" s="39">
        <f t="shared" ca="1" si="73"/>
        <v>0</v>
      </c>
    </row>
    <row r="116" spans="4:46" x14ac:dyDescent="0.2">
      <c r="D116" t="s">
        <v>133</v>
      </c>
      <c r="J116" s="10"/>
      <c r="K116" s="47">
        <f ca="1">J116+K105</f>
        <v>-65677982.628290445</v>
      </c>
      <c r="L116" s="47">
        <f t="shared" ref="L116:AT116" ca="1" si="74">K116+L105</f>
        <v>-60634786.982041568</v>
      </c>
      <c r="M116" s="47">
        <f t="shared" ca="1" si="74"/>
        <v>-55532573.425318025</v>
      </c>
      <c r="N116" s="47">
        <f t="shared" ca="1" si="74"/>
        <v>-50361551.777072676</v>
      </c>
      <c r="O116" s="47">
        <f t="shared" ca="1" si="74"/>
        <v>-45122788.716605082</v>
      </c>
      <c r="P116" s="47">
        <f t="shared" ca="1" si="74"/>
        <v>-39815192.771193936</v>
      </c>
      <c r="Q116" s="47">
        <f t="shared" ca="1" si="74"/>
        <v>-34439427.810425296</v>
      </c>
      <c r="R116" s="47">
        <f t="shared" ca="1" si="74"/>
        <v>-28997012.314996257</v>
      </c>
      <c r="S116" s="47">
        <f t="shared" ca="1" si="74"/>
        <v>-23488749.616516881</v>
      </c>
      <c r="T116" s="47">
        <f t="shared" ca="1" si="74"/>
        <v>-17914810.621802617</v>
      </c>
      <c r="U116" s="47">
        <f t="shared" ca="1" si="74"/>
        <v>-12275736.117163081</v>
      </c>
      <c r="V116" s="47">
        <f t="shared" ca="1" si="74"/>
        <v>-6572619.8021106906</v>
      </c>
      <c r="W116" s="47">
        <f t="shared" ca="1" si="74"/>
        <v>-807023.11267403513</v>
      </c>
      <c r="X116" s="47">
        <f t="shared" ca="1" si="74"/>
        <v>5019494.4623119747</v>
      </c>
      <c r="Y116" s="47">
        <f t="shared" ca="1" si="74"/>
        <v>10905401.19040047</v>
      </c>
      <c r="Z116" s="47">
        <f t="shared" ca="1" si="74"/>
        <v>16849366.808676079</v>
      </c>
      <c r="AA116" s="47">
        <f t="shared" ca="1" si="74"/>
        <v>22850225.619248044</v>
      </c>
      <c r="AB116" s="47">
        <f t="shared" ca="1" si="74"/>
        <v>28907130.00515794</v>
      </c>
      <c r="AC116" s="47">
        <f t="shared" ca="1" si="74"/>
        <v>35018993.602802925</v>
      </c>
      <c r="AD116" s="47">
        <f t="shared" ca="1" si="74"/>
        <v>41184677.930053748</v>
      </c>
      <c r="AE116" s="47">
        <f t="shared" ca="1" si="74"/>
        <v>47402856.846353434</v>
      </c>
      <c r="AF116" s="47">
        <f t="shared" ca="1" si="74"/>
        <v>71100381.098514199</v>
      </c>
      <c r="AG116" s="47">
        <f t="shared" ca="1" si="74"/>
        <v>95324038.299755603</v>
      </c>
      <c r="AH116" s="47">
        <f t="shared" ca="1" si="74"/>
        <v>120085495.20958325</v>
      </c>
      <c r="AI116" s="47">
        <f t="shared" ca="1" si="74"/>
        <v>145396677.00709692</v>
      </c>
      <c r="AJ116" s="47">
        <f t="shared" ca="1" si="74"/>
        <v>171269773.00935784</v>
      </c>
      <c r="AK116" s="47">
        <f t="shared" ca="1" si="74"/>
        <v>197717242.51618189</v>
      </c>
      <c r="AL116" s="47">
        <f t="shared" ca="1" si="74"/>
        <v>224751820.78415084</v>
      </c>
      <c r="AM116" s="47">
        <f t="shared" ca="1" si="74"/>
        <v>252386525.13269696</v>
      </c>
      <c r="AN116" s="47">
        <f t="shared" ca="1" si="74"/>
        <v>280634661.18517792</v>
      </c>
      <c r="AO116" s="47">
        <f t="shared" ca="1" si="74"/>
        <v>309509829.24792439</v>
      </c>
      <c r="AP116" s="47">
        <f t="shared" ca="1" si="74"/>
        <v>309509829.24792439</v>
      </c>
      <c r="AQ116" s="47">
        <f t="shared" ca="1" si="74"/>
        <v>309509829.24792439</v>
      </c>
      <c r="AR116" s="47">
        <f t="shared" ca="1" si="74"/>
        <v>309509829.24792439</v>
      </c>
      <c r="AS116" s="47">
        <f t="shared" ca="1" si="74"/>
        <v>309509829.24792439</v>
      </c>
      <c r="AT116" s="47">
        <f t="shared" ca="1" si="74"/>
        <v>309509829.24792439</v>
      </c>
    </row>
    <row r="117" spans="4:46" x14ac:dyDescent="0.2">
      <c r="D117" s="45" t="s">
        <v>134</v>
      </c>
      <c r="E117" s="11" t="s">
        <v>6</v>
      </c>
      <c r="G117">
        <f ca="1">COUNTIF($K$116:$AT$116, "&lt;"&amp;0)</f>
        <v>13</v>
      </c>
    </row>
  </sheetData>
  <conditionalFormatting sqref="G92">
    <cfRule type="cellIs" dxfId="5" priority="3" operator="equal">
      <formula>1</formula>
    </cfRule>
    <cfRule type="cellIs" dxfId="4" priority="4" operator="equal">
      <formula>0</formula>
    </cfRule>
  </conditionalFormatting>
  <conditionalFormatting sqref="G99">
    <cfRule type="cellIs" dxfId="3" priority="1" operator="equal">
      <formula>1</formula>
    </cfRule>
    <cfRule type="cellIs" dxfId="2" priority="2" operator="equal">
      <formula>0</formula>
    </cfRule>
  </conditionalFormatting>
  <conditionalFormatting sqref="K9:AT13">
    <cfRule type="cellIs" dxfId="1" priority="6" operator="equal">
      <formula>1</formula>
    </cfRule>
  </conditionalFormatting>
  <conditionalFormatting sqref="K73:AT73">
    <cfRule type="cellIs" dxfId="0" priority="5" operator="equal">
      <formula>1</formula>
    </cfRule>
  </conditionalFormatting>
  <pageMargins left="0.7" right="0.7" top="0.75" bottom="0.75" header="0.3" footer="0.3"/>
  <ignoredErrors>
    <ignoredError sqref="K68:AT6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028D-1438-CA47-AB53-C02B6A99DDC0}">
  <dimension ref="A1:G16"/>
  <sheetViews>
    <sheetView showGridLines="0" workbookViewId="0">
      <selection activeCell="D16" sqref="D16"/>
    </sheetView>
  </sheetViews>
  <sheetFormatPr baseColWidth="10" defaultColWidth="0" defaultRowHeight="16" zeroHeight="1" x14ac:dyDescent="0.2"/>
  <cols>
    <col min="1" max="2" width="3.1640625" customWidth="1"/>
    <col min="3" max="3" width="36.33203125" customWidth="1"/>
    <col min="4" max="5" width="10.83203125" customWidth="1"/>
    <col min="6" max="7" width="3.33203125" customWidth="1"/>
    <col min="8" max="16384" width="10.83203125" hidden="1"/>
  </cols>
  <sheetData>
    <row r="1" spans="2:7" x14ac:dyDescent="0.2"/>
    <row r="2" spans="2:7" ht="22" x14ac:dyDescent="0.3">
      <c r="B2" s="28" t="s">
        <v>135</v>
      </c>
      <c r="C2" s="28"/>
      <c r="D2" s="28"/>
      <c r="E2" s="28"/>
      <c r="F2" s="28"/>
      <c r="G2" s="28"/>
    </row>
    <row r="3" spans="2:7" ht="20" x14ac:dyDescent="0.25">
      <c r="C3" s="29" t="s">
        <v>136</v>
      </c>
    </row>
    <row r="4" spans="2:7" x14ac:dyDescent="0.2"/>
    <row r="5" spans="2:7" x14ac:dyDescent="0.2">
      <c r="C5" s="74" t="s">
        <v>137</v>
      </c>
    </row>
    <row r="6" spans="2:7" x14ac:dyDescent="0.2">
      <c r="C6" s="14" t="s">
        <v>85</v>
      </c>
      <c r="D6" s="11" t="s">
        <v>13</v>
      </c>
      <c r="E6" s="75">
        <f>Calculations!G44</f>
        <v>8.2350984215736403E-2</v>
      </c>
    </row>
    <row r="7" spans="2:7" x14ac:dyDescent="0.2">
      <c r="C7" s="14" t="s">
        <v>92</v>
      </c>
      <c r="D7" s="11" t="s">
        <v>13</v>
      </c>
      <c r="E7" s="75">
        <f>Calculations!G56</f>
        <v>6.9184342026710519E-2</v>
      </c>
    </row>
    <row r="8" spans="2:7" x14ac:dyDescent="0.2">
      <c r="C8" s="14" t="s">
        <v>138</v>
      </c>
      <c r="D8" s="11" t="s">
        <v>13</v>
      </c>
      <c r="E8" s="75">
        <f ca="1">Calculations!G107</f>
        <v>0.10526180863380433</v>
      </c>
    </row>
    <row r="9" spans="2:7" x14ac:dyDescent="0.2">
      <c r="C9" s="14" t="str">
        <f>Inputs_TI!D46</f>
        <v>Target Minimum Equity IRR</v>
      </c>
      <c r="D9" s="11" t="s">
        <v>13</v>
      </c>
      <c r="E9" s="34">
        <f>Inputs_TI!F46</f>
        <v>0.1</v>
      </c>
    </row>
    <row r="10" spans="2:7" x14ac:dyDescent="0.2"/>
    <row r="11" spans="2:7" x14ac:dyDescent="0.2">
      <c r="C11" s="74" t="s">
        <v>139</v>
      </c>
    </row>
    <row r="12" spans="2:7" x14ac:dyDescent="0.2">
      <c r="C12" s="14" t="s">
        <v>128</v>
      </c>
      <c r="D12" s="11" t="s">
        <v>74</v>
      </c>
      <c r="E12" s="72">
        <f ca="1">Calculations!G111</f>
        <v>4324684.2328760773</v>
      </c>
    </row>
    <row r="13" spans="2:7" x14ac:dyDescent="0.2">
      <c r="C13" s="14" t="s">
        <v>131</v>
      </c>
      <c r="D13" s="11" t="s">
        <v>13</v>
      </c>
      <c r="E13" s="75">
        <f ca="1">AVERAGE(Calculations!L114:AO114)</f>
        <v>0.19041785230606062</v>
      </c>
    </row>
    <row r="14" spans="2:7" x14ac:dyDescent="0.2">
      <c r="C14" s="14" t="s">
        <v>140</v>
      </c>
      <c r="D14" s="11" t="s">
        <v>41</v>
      </c>
      <c r="E14" s="75">
        <f ca="1">Calculations!G114</f>
        <v>5.7125355691818198</v>
      </c>
    </row>
    <row r="15" spans="2:7" x14ac:dyDescent="0.2">
      <c r="C15" s="14" t="s">
        <v>141</v>
      </c>
      <c r="D15" s="11" t="s">
        <v>6</v>
      </c>
      <c r="E15" s="45">
        <f ca="1">Calculations!G117</f>
        <v>13</v>
      </c>
    </row>
    <row r="16" spans="2:7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Model Notes</vt:lpstr>
      <vt:lpstr>SOFR Forward Curve</vt:lpstr>
      <vt:lpstr>Inputs_TI</vt:lpstr>
      <vt:lpstr>Inputs_TD</vt:lpstr>
      <vt:lpstr>Calculations</vt:lpstr>
      <vt:lpstr>Output</vt:lpstr>
      <vt:lpstr>COD</vt:lpstr>
      <vt:lpstr>Financial_Close</vt:lpstr>
      <vt:lpstr>Financial_End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lambor</dc:creator>
  <cp:lastModifiedBy>prasad lambor</cp:lastModifiedBy>
  <dcterms:created xsi:type="dcterms:W3CDTF">2026-07-13T04:09:30Z</dcterms:created>
  <dcterms:modified xsi:type="dcterms:W3CDTF">2026-07-30T04:44:22Z</dcterms:modified>
</cp:coreProperties>
</file>